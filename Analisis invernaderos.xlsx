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https://eliteflowersasci-my.sharepoint.com/personal/pastautomatizacion4_eliteflower_com/Documents/Escritorio/"/>
    </mc:Choice>
  </mc:AlternateContent>
  <xr:revisionPtr revIDLastSave="6" documentId="8_{A572E481-F53C-4C26-8902-F3DE33F6F3A1}" xr6:coauthVersionLast="47" xr6:coauthVersionMax="47" xr10:uidLastSave="{B21BEBE9-6660-46AB-8895-9C42A7BCB97B}"/>
  <bookViews>
    <workbookView xWindow="28680" yWindow="-120" windowWidth="21840" windowHeight="13020" tabRatio="500" xr2:uid="{00000000-000D-0000-FFFF-FFFF00000000}"/>
  </bookViews>
  <sheets>
    <sheet name="Datos por Bloque" sheetId="1" r:id="rId1"/>
    <sheet name="Indicadores Resumen" sheetId="2" r:id="rId2"/>
    <sheet name="Diccionario de Variables" sheetId="4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R13" i="1" l="1"/>
  <c r="R14" i="1"/>
  <c r="R15" i="1"/>
  <c r="Q13" i="1"/>
  <c r="Q14" i="1"/>
  <c r="Q15" i="1"/>
  <c r="P13" i="1"/>
  <c r="P14" i="1"/>
  <c r="P15" i="1"/>
  <c r="O13" i="1"/>
  <c r="O14" i="1"/>
  <c r="O15" i="1"/>
  <c r="R12" i="1"/>
  <c r="Q12" i="1"/>
  <c r="P12" i="1"/>
  <c r="O12" i="1"/>
</calcChain>
</file>

<file path=xl/sharedStrings.xml><?xml version="1.0" encoding="utf-8"?>
<sst xmlns="http://schemas.openxmlformats.org/spreadsheetml/2006/main" count="213" uniqueCount="147">
  <si>
    <t>ANÁLISIS DE VENTILACIÓN EN INVERNADEROS – DATOS POR BLOQUE</t>
  </si>
  <si>
    <t>DATOS GENERALES</t>
  </si>
  <si>
    <t>APERTURA LATERAL (m)</t>
  </si>
  <si>
    <t>APERTURA FRONTAL (m)</t>
  </si>
  <si>
    <t>VENTILACIÓN CULATAS (m)</t>
  </si>
  <si>
    <t>Bloque</t>
  </si>
  <si>
    <t>N° Cuadros</t>
  </si>
  <si>
    <t>N° Naves</t>
  </si>
  <si>
    <t>N° Culatas</t>
  </si>
  <si>
    <t>Bloque 27</t>
  </si>
  <si>
    <t>Bloque 38</t>
  </si>
  <si>
    <t>Bloque 34</t>
  </si>
  <si>
    <t>Bloque 35</t>
  </si>
  <si>
    <t>APERTURA CALCULADA EN m²</t>
  </si>
  <si>
    <t>INDICADORES DE VENTILACIÓN – RESUMEN COMPARATIVO POR BLOQUE</t>
  </si>
  <si>
    <t>Total Teórica (m²)</t>
  </si>
  <si>
    <t>Total Máx. Perm. (m²)</t>
  </si>
  <si>
    <t>Total Real (m²)</t>
  </si>
  <si>
    <t>Brecha Máx-Real (m²)</t>
  </si>
  <si>
    <t>% Real / Teórica</t>
  </si>
  <si>
    <t>% Real / Máx. Perm.</t>
  </si>
  <si>
    <t>INTERPRETACIÓN TÉCNICA</t>
  </si>
  <si>
    <t>Mayor apertura teórica:</t>
  </si>
  <si>
    <t>Bloque 34 con 1803.20 m². Tiene el mayor potencial geométrico de ventilación.</t>
  </si>
  <si>
    <t>Mayor apertura real:</t>
  </si>
  <si>
    <t>Bloque 34 con 1605.84 m². Es el bloque con mayor ventilación efectiva en operación.</t>
  </si>
  <si>
    <t>Mayor brecha (Máx. permitida – Real):</t>
  </si>
  <si>
    <t>Bloque 35 con 292.00 m² sin aprovechar. Las cortinas no alcanzan su capacidad máxima.</t>
  </si>
  <si>
    <t>Nota técnica:</t>
  </si>
  <si>
    <t>La brecha indica diferencia entre lo que el sistema puede abrir (máx. permitida) y lo que efectivamente se opera (real). Valores bajos de % real/máx. sugieren restricciones operativas, mecánicas o de ajuste de cortinas.</t>
  </si>
  <si>
    <t>GRÁFICAS COMPARATIVAS – VENTILACIÓN POR BLOQUE</t>
  </si>
  <si>
    <t>Teórica (m²)</t>
  </si>
  <si>
    <t>Máx. Permitida (m²)</t>
  </si>
  <si>
    <t>Real (m²)</t>
  </si>
  <si>
    <t>Tamaño del cuadro (m)</t>
  </si>
  <si>
    <t>Tamaño de la nave (m)</t>
  </si>
  <si>
    <t>Ancho de culata (m)</t>
  </si>
  <si>
    <t>Alto de culata (m)</t>
  </si>
  <si>
    <t>Apertura lateral teórica (m)</t>
  </si>
  <si>
    <t>Apertura lateral máxima permitida (m)</t>
  </si>
  <si>
    <t>Apertura lateral real (m)</t>
  </si>
  <si>
    <t>Apertura frontal teórica (m)</t>
  </si>
  <si>
    <t>Apertura frontal máxima permitida (m)</t>
  </si>
  <si>
    <t>Apertura frontal real (m)</t>
  </si>
  <si>
    <t>Apertura culatas teórica (m)</t>
  </si>
  <si>
    <t>Apertura culatas máxima permitida (m)</t>
  </si>
  <si>
    <t>Apertura culatas real (m)</t>
  </si>
  <si>
    <t>Área lateral teórica (m²)</t>
  </si>
  <si>
    <t>Área lateral máxima permitida (m²)</t>
  </si>
  <si>
    <t>Área lateral real (m²)</t>
  </si>
  <si>
    <t>Área frontal teórica (m²)</t>
  </si>
  <si>
    <t>Área frontal máxima permitida (m²)</t>
  </si>
  <si>
    <t>Área frontal real (m²)</t>
  </si>
  <si>
    <t>Área culatas teórica (m²)</t>
  </si>
  <si>
    <t>Área culatas máxima permitida (m²)</t>
  </si>
  <si>
    <t>Área culatas real (m²)</t>
  </si>
  <si>
    <t>Total área teórica (m²)</t>
  </si>
  <si>
    <t>Total área máxima permitida (m²)</t>
  </si>
  <si>
    <t>Total área real (m²)</t>
  </si>
  <si>
    <t>Brecha de ventilación (máx. permitida - real) m²</t>
  </si>
  <si>
    <t>% máxima permitida frente a teórica</t>
  </si>
  <si>
    <t>% apertura real frente a máxima permitida</t>
  </si>
  <si>
    <t>% apertura real frente a teórica</t>
  </si>
  <si>
    <t>% pérdida operativa</t>
  </si>
  <si>
    <t>GUÍA RÁPIDA DE LECTURA</t>
  </si>
  <si>
    <t>Apertura teórica</t>
  </si>
  <si>
    <t>Capacidad de apertura estimada según geometría o referencia base del invernadero.</t>
  </si>
  <si>
    <t>Apertura máxima permitida</t>
  </si>
  <si>
    <t>Apertura máxima que permite el sistema instalado, considerando estructura, motores, cortinas, topes o condiciones de montaje.</t>
  </si>
  <si>
    <t>Apertura real</t>
  </si>
  <si>
    <t>Apertura efectivamente observada o alcanzada durante la operación diaria.</t>
  </si>
  <si>
    <t>Brecha de ventilación</t>
  </si>
  <si>
    <t>Diferencia entre la apertura máxima permitida y la apertura real. Indica el área que no se está aprovechando.</t>
  </si>
  <si>
    <t>Indicador principal</t>
  </si>
  <si>
    <t>El % de apertura real frente a máxima permitida mide el desempeño operativo del sistema instalado.</t>
  </si>
  <si>
    <t>DICCIONARIO DE VARIABLES Y GUÍA DE LECTURA</t>
  </si>
  <si>
    <t>Variable / columna</t>
  </si>
  <si>
    <t>Qué significa</t>
  </si>
  <si>
    <t>Unidad</t>
  </si>
  <si>
    <t>Cómo se interpreta</t>
  </si>
  <si>
    <t>Dónde aparece</t>
  </si>
  <si>
    <t>Bloque de invernadero</t>
  </si>
  <si>
    <t>Identificador del bloque evaluado.</t>
  </si>
  <si>
    <t>Texto</t>
  </si>
  <si>
    <t>Permite comparar la ventilación entre bloques.</t>
  </si>
  <si>
    <t>Todas las hojas</t>
  </si>
  <si>
    <t>N° de cuadros</t>
  </si>
  <si>
    <t>Cantidad de cuadros o módulos estructurales del bloque.</t>
  </si>
  <si>
    <t>A mayor número de cuadros, mayor longitud útil potencial de ventilación.</t>
  </si>
  <si>
    <t>Datos por Bloque</t>
  </si>
  <si>
    <t>N° de naves</t>
  </si>
  <si>
    <t>Cantidad de naves del invernadero.</t>
  </si>
  <si>
    <t>Sirve para describir la geometría del bloque.</t>
  </si>
  <si>
    <t>N° de culatas</t>
  </si>
  <si>
    <t>Cantidad de aperturas de culata consideradas en el cálculo.</t>
  </si>
  <si>
    <t>Si es cero, la ventilación por culatas no aplica para ese bloque.</t>
  </si>
  <si>
    <t>Tamaño del cuadro</t>
  </si>
  <si>
    <t>Longitud de cada cuadro estructural.</t>
  </si>
  <si>
    <t>m</t>
  </si>
  <si>
    <t>Se usa para calcular longitudes y áreas de ventilación.</t>
  </si>
  <si>
    <t>Tamaño de la nave</t>
  </si>
  <si>
    <t>Medida asociada a cada nave del invernadero.</t>
  </si>
  <si>
    <t>Hace parte de la geometría usada para el cálculo.</t>
  </si>
  <si>
    <t>Ancho / alto de culata</t>
  </si>
  <si>
    <t>Dimensiones físicas consideradas para calcular ventilación en culatas.</t>
  </si>
  <si>
    <t>Definen el área potencial de ventilación por culatas.</t>
  </si>
  <si>
    <t>m o m²</t>
  </si>
  <si>
    <t>Representa el potencial teórico de ventilación.</t>
  </si>
  <si>
    <t>Datos por Bloque / Indicadores</t>
  </si>
  <si>
    <t>Apertura máxima que permite el sistema instalado considerando estructura, motor, cortinas o topes.</t>
  </si>
  <si>
    <t>Representa el límite operativo posible del sistema instalado.</t>
  </si>
  <si>
    <t>Apertura efectivamente observada o alcanzada en operación.</t>
  </si>
  <si>
    <t>Representa la ventilación que realmente se logra.</t>
  </si>
  <si>
    <t>Área lateral de ventilación</t>
  </si>
  <si>
    <t>Área abierta correspondiente a la ventilación lateral.</t>
  </si>
  <si>
    <t>m²</t>
  </si>
  <si>
    <t>Ayuda a identificar desempeño por laterales.</t>
  </si>
  <si>
    <t>Área frontal de ventilación</t>
  </si>
  <si>
    <t>Área abierta correspondiente a la ventilación frontal.</t>
  </si>
  <si>
    <t>Ayuda a identificar pérdidas en la parte frontal.</t>
  </si>
  <si>
    <t>Área de ventilación por culatas</t>
  </si>
  <si>
    <t>Área abierta correspondiente a las culatas.</t>
  </si>
  <si>
    <t>Puede no aplicar si el bloque no tiene culatas.</t>
  </si>
  <si>
    <t>Total área teórica</t>
  </si>
  <si>
    <t>Suma del área lateral teórica, frontal teórica y culatas teórica.</t>
  </si>
  <si>
    <t>Potencial total de ventilación del bloque.</t>
  </si>
  <si>
    <t>Total área máxima permitida</t>
  </si>
  <si>
    <t>Suma del área lateral, frontal y culatas máximas permitidas.</t>
  </si>
  <si>
    <t>Máxima área que podría abrir el sistema instalado.</t>
  </si>
  <si>
    <t>Total área real</t>
  </si>
  <si>
    <t>Suma del área lateral, frontal y culatas reales.</t>
  </si>
  <si>
    <t>Área total realmente disponible para ventilación.</t>
  </si>
  <si>
    <t>Diferencia entre total máximo permitido y total real.</t>
  </si>
  <si>
    <t>Mientras mayor sea, mayor es el área no aprovechada.</t>
  </si>
  <si>
    <t>Total máximo permitido dividido entre total teórico.</t>
  </si>
  <si>
    <t>%</t>
  </si>
  <si>
    <t>Mide qué tan cerca está el sistema instalado de la referencia teórica.</t>
  </si>
  <si>
    <t>Total real dividido entre total máximo permitido.</t>
  </si>
  <si>
    <t>Indicador principal de desempeño operativo del sistema.</t>
  </si>
  <si>
    <t>Total real dividido entre total teórico.</t>
  </si>
  <si>
    <t>Mide cuánto se aprovecha del potencial teórico.</t>
  </si>
  <si>
    <t>Uno menos el % apertura real frente a máxima permitida.</t>
  </si>
  <si>
    <t>Indica el porcentaje que falta por aprovechar frente al máximo permitido.</t>
  </si>
  <si>
    <t>Diagnóstico operativo</t>
  </si>
  <si>
    <t>Clasificación del bloque según su desempeño de apertura real frente a máxima permitida.</t>
  </si>
  <si>
    <t>Ayuda a priorizar revisión de bloques con bajo desempeño.</t>
  </si>
  <si>
    <t>Indicadores Resumen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</si>
</sst>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14" x14ac:knownFonts="1">
    <font>
      <sz val="11"/>
      <color theme="1"/>
      <name val="Calibri"/>
      <family val="2"/>
      <charset val="1"/>
    </font>
    <font>
      <sz val="10"/>
      <name val="Arial"/>
    </font>
    <font>
      <sz val="11"/>
      <name val="Calibri"/>
      <family val="2"/>
      <charset val="1"/>
    </font>
    <font>
      <b/>
      <sz val="10"/>
      <name val="Arial"/>
      <family val="2"/>
    </font>
    <font>
      <b/>
      <sz val="9"/>
      <name val="Arial"/>
      <family val="2"/>
    </font>
    <font>
      <sz val="10"/>
      <name val="Arial"/>
      <family val="2"/>
    </font>
    <font>
      <b/>
      <sz val="14"/>
      <color theme="0"/>
      <name val="Arial"/>
      <family val="2"/>
    </font>
    <font>
      <b/>
      <sz val="10"/>
      <color theme="0"/>
      <name val="Arial"/>
      <family val="2"/>
    </font>
    <font>
      <b/>
      <sz val="11"/>
      <color rgb="FFFFFFFF"/>
      <name val="Calibri"/>
      <family val="2"/>
    </font>
    <font>
      <b/>
      <sz val="11"/>
      <name val="Calibri"/>
      <family val="2"/>
    </font>
    <font>
      <sz val="11"/>
      <color theme="1"/>
      <name val="Calibri"/>
      <family val="2"/>
    </font>
    <font>
      <b/>
      <sz val="12"/>
      <color theme="0"/>
      <name val="Arial"/>
      <family val="2"/>
    </font>
    <font>
      <sz val="11"/>
      <name val="Calibri"/>
      <family val="2"/>
    </font>
    <font>
      <b/>
      <sz val="14"/>
      <color theme="0"/>
      <name val="Calibri"/>
      <family val="2"/>
    </font>
  </fonts>
  <fills count="21">
    <fill>
      <patternFill patternType="none"/>
    </fill>
    <fill>
      <patternFill patternType="gray125"/>
    </fill>
    <fill>
      <patternFill patternType="solid">
        <fgColor theme="0"/>
        <bgColor rgb="FF3266AD"/>
      </patternFill>
    </fill>
    <fill>
      <patternFill patternType="solid">
        <fgColor theme="0"/>
        <bgColor indexed="64"/>
      </patternFill>
    </fill>
    <fill>
      <patternFill patternType="solid">
        <fgColor theme="0"/>
        <bgColor rgb="FFF9F9F9"/>
      </patternFill>
    </fill>
    <fill>
      <patternFill patternType="solid">
        <fgColor theme="0"/>
        <bgColor rgb="FFFFEB9C"/>
      </patternFill>
    </fill>
    <fill>
      <patternFill patternType="solid">
        <fgColor theme="0"/>
        <bgColor rgb="FFD9EAD3"/>
      </patternFill>
    </fill>
    <fill>
      <patternFill patternType="solid">
        <fgColor theme="0"/>
        <bgColor rgb="FFFCE5CD"/>
      </patternFill>
    </fill>
    <fill>
      <patternFill patternType="solid">
        <fgColor rgb="FF545386"/>
        <bgColor rgb="FF3266AD"/>
      </patternFill>
    </fill>
    <fill>
      <patternFill patternType="solid">
        <fgColor rgb="FF766FA4"/>
        <bgColor indexed="64"/>
      </patternFill>
    </fill>
    <fill>
      <patternFill patternType="solid">
        <fgColor rgb="FF545386"/>
        <bgColor indexed="64"/>
      </patternFill>
    </fill>
    <fill>
      <patternFill patternType="solid">
        <fgColor rgb="FFF5F4FA"/>
        <bgColor rgb="FFFFEB9C"/>
      </patternFill>
    </fill>
    <fill>
      <patternFill patternType="solid">
        <fgColor rgb="FFF5F4FA"/>
        <bgColor indexed="64"/>
      </patternFill>
    </fill>
    <fill>
      <patternFill patternType="solid">
        <fgColor rgb="FFF5F4FA"/>
        <bgColor rgb="FFD9EAD3"/>
      </patternFill>
    </fill>
    <fill>
      <patternFill patternType="solid">
        <fgColor rgb="FFF5F4FA"/>
        <bgColor rgb="FFFCE5CD"/>
      </patternFill>
    </fill>
    <fill>
      <patternFill patternType="solid">
        <fgColor theme="3" tint="0.39997558519241921"/>
        <bgColor rgb="FF5EAAA8"/>
      </patternFill>
    </fill>
    <fill>
      <patternFill patternType="solid">
        <fgColor theme="1" tint="0.14999847407452621"/>
        <bgColor rgb="FF9C6500"/>
      </patternFill>
    </fill>
    <fill>
      <patternFill patternType="solid">
        <fgColor theme="9"/>
        <bgColor rgb="FF9999FF"/>
      </patternFill>
    </fill>
    <fill>
      <patternFill patternType="solid">
        <fgColor rgb="FFF8FBFD"/>
      </patternFill>
    </fill>
    <fill>
      <patternFill patternType="solid">
        <fgColor rgb="FFF5F4FA"/>
        <bgColor rgb="FFF9F9F9"/>
      </patternFill>
    </fill>
    <fill>
      <patternFill patternType="solid">
        <fgColor theme="0"/>
        <bgColor rgb="FFD9D9D9"/>
      </patternFill>
    </fill>
  </fills>
  <borders count="15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auto="1"/>
      </left>
      <right/>
      <top style="medium">
        <color indexed="64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3">
    <xf numFmtId="0" fontId="0" fillId="0" borderId="0"/>
    <xf numFmtId="9" fontId="1" fillId="0" borderId="0" applyBorder="0" applyAlignment="0" applyProtection="0"/>
    <xf numFmtId="0" fontId="10" fillId="0" borderId="0"/>
  </cellStyleXfs>
  <cellXfs count="112">
    <xf numFmtId="0" fontId="0" fillId="0" borderId="0" xfId="0"/>
    <xf numFmtId="0" fontId="4" fillId="4" borderId="1" xfId="0" applyFont="1" applyFill="1" applyBorder="1" applyAlignment="1">
      <alignment horizontal="center" vertical="center" wrapText="1"/>
    </xf>
    <xf numFmtId="0" fontId="5" fillId="12" borderId="1" xfId="0" applyFont="1" applyFill="1" applyBorder="1" applyAlignment="1">
      <alignment horizontal="center" vertical="center" wrapText="1"/>
    </xf>
    <xf numFmtId="0" fontId="5" fillId="3" borderId="1" xfId="0" applyFont="1" applyFill="1" applyBorder="1" applyAlignment="1">
      <alignment horizontal="center" vertical="center" wrapText="1"/>
    </xf>
    <xf numFmtId="0" fontId="5" fillId="3" borderId="0" xfId="0" applyFont="1" applyFill="1" applyAlignment="1">
      <alignment horizontal="center" vertical="center" wrapText="1"/>
    </xf>
    <xf numFmtId="0" fontId="5" fillId="12" borderId="5" xfId="0" applyFont="1" applyFill="1" applyBorder="1" applyAlignment="1">
      <alignment horizontal="center" vertical="center" wrapText="1"/>
    </xf>
    <xf numFmtId="0" fontId="3" fillId="11" borderId="1" xfId="0" applyFont="1" applyFill="1" applyBorder="1" applyAlignment="1">
      <alignment horizontal="left" vertical="center" wrapText="1"/>
    </xf>
    <xf numFmtId="0" fontId="3" fillId="5" borderId="1" xfId="0" applyFont="1" applyFill="1" applyBorder="1" applyAlignment="1">
      <alignment horizontal="left" vertical="center" wrapText="1"/>
    </xf>
    <xf numFmtId="0" fontId="5" fillId="12" borderId="0" xfId="0" applyFont="1" applyFill="1" applyAlignment="1">
      <alignment horizontal="center" vertical="center" wrapText="1"/>
    </xf>
    <xf numFmtId="0" fontId="3" fillId="13" borderId="1" xfId="0" applyFont="1" applyFill="1" applyBorder="1" applyAlignment="1">
      <alignment horizontal="center" vertical="center" wrapText="1"/>
    </xf>
    <xf numFmtId="0" fontId="3" fillId="6" borderId="1" xfId="0" applyFont="1" applyFill="1" applyBorder="1" applyAlignment="1">
      <alignment horizontal="center" vertical="center" wrapText="1"/>
    </xf>
    <xf numFmtId="0" fontId="3" fillId="7" borderId="1" xfId="0" applyFont="1" applyFill="1" applyBorder="1" applyAlignment="1">
      <alignment horizontal="center" vertical="center" wrapText="1"/>
    </xf>
    <xf numFmtId="0" fontId="3" fillId="14" borderId="1" xfId="0" applyFont="1" applyFill="1" applyBorder="1" applyAlignment="1">
      <alignment horizontal="center" vertical="center" wrapText="1"/>
    </xf>
    <xf numFmtId="9" fontId="5" fillId="12" borderId="1" xfId="1" applyFont="1" applyFill="1" applyBorder="1"/>
    <xf numFmtId="9" fontId="5" fillId="3" borderId="1" xfId="1" applyFont="1" applyFill="1" applyBorder="1"/>
    <xf numFmtId="0" fontId="9" fillId="3" borderId="1" xfId="0" applyFont="1" applyFill="1" applyBorder="1" applyAlignment="1">
      <alignment vertical="center" wrapText="1"/>
    </xf>
    <xf numFmtId="0" fontId="10" fillId="0" borderId="0" xfId="2"/>
    <xf numFmtId="0" fontId="3" fillId="2" borderId="1" xfId="0" applyFont="1" applyFill="1" applyBorder="1" applyAlignment="1">
      <alignment horizontal="center" vertical="center" wrapText="1"/>
    </xf>
    <xf numFmtId="0" fontId="3" fillId="11" borderId="1" xfId="0" applyFont="1" applyFill="1" applyBorder="1" applyAlignment="1">
      <alignment horizontal="center" vertical="center" wrapText="1"/>
    </xf>
    <xf numFmtId="0" fontId="3" fillId="5" borderId="1" xfId="0" applyFont="1" applyFill="1" applyBorder="1" applyAlignment="1">
      <alignment horizontal="center" vertical="center" wrapText="1"/>
    </xf>
    <xf numFmtId="4" fontId="5" fillId="3" borderId="1" xfId="0" applyNumberFormat="1" applyFont="1" applyFill="1" applyBorder="1" applyAlignment="1">
      <alignment horizontal="center" vertical="center" wrapText="1"/>
    </xf>
    <xf numFmtId="4" fontId="5" fillId="12" borderId="1" xfId="0" applyNumberFormat="1" applyFont="1" applyFill="1" applyBorder="1" applyAlignment="1">
      <alignment horizontal="center" vertical="center" wrapText="1"/>
    </xf>
    <xf numFmtId="4" fontId="5" fillId="14" borderId="1" xfId="0" applyNumberFormat="1" applyFont="1" applyFill="1" applyBorder="1" applyAlignment="1">
      <alignment horizontal="center" vertical="center" wrapText="1"/>
    </xf>
    <xf numFmtId="4" fontId="5" fillId="7" borderId="1" xfId="0" applyNumberFormat="1" applyFont="1" applyFill="1" applyBorder="1" applyAlignment="1">
      <alignment horizontal="center" vertical="center" wrapText="1"/>
    </xf>
    <xf numFmtId="164" fontId="5" fillId="7" borderId="1" xfId="0" applyNumberFormat="1" applyFont="1" applyFill="1" applyBorder="1" applyAlignment="1">
      <alignment horizontal="center" vertical="center" wrapText="1"/>
    </xf>
    <xf numFmtId="164" fontId="5" fillId="14" borderId="1" xfId="0" applyNumberFormat="1" applyFont="1" applyFill="1" applyBorder="1" applyAlignment="1">
      <alignment horizontal="center" vertical="center" wrapText="1"/>
    </xf>
    <xf numFmtId="164" fontId="5" fillId="13" borderId="1" xfId="0" applyNumberFormat="1" applyFont="1" applyFill="1" applyBorder="1" applyAlignment="1">
      <alignment horizontal="center" vertical="center" wrapText="1"/>
    </xf>
    <xf numFmtId="164" fontId="5" fillId="6" borderId="1" xfId="0" applyNumberFormat="1" applyFont="1" applyFill="1" applyBorder="1" applyAlignment="1">
      <alignment horizontal="center" vertical="center" wrapText="1"/>
    </xf>
    <xf numFmtId="0" fontId="3" fillId="20" borderId="1" xfId="0" applyFont="1" applyFill="1" applyBorder="1" applyAlignment="1">
      <alignment horizontal="left" vertical="center" wrapText="1"/>
    </xf>
    <xf numFmtId="0" fontId="3" fillId="13" borderId="1" xfId="0" applyFont="1" applyFill="1" applyBorder="1" applyAlignment="1">
      <alignment horizontal="left" vertical="center" wrapText="1"/>
    </xf>
    <xf numFmtId="0" fontId="3" fillId="7" borderId="1" xfId="0" applyFont="1" applyFill="1" applyBorder="1" applyAlignment="1">
      <alignment horizontal="left" vertical="center" wrapText="1"/>
    </xf>
    <xf numFmtId="0" fontId="3" fillId="19" borderId="1" xfId="0" applyFont="1" applyFill="1" applyBorder="1" applyAlignment="1">
      <alignment horizontal="left" vertical="center" wrapText="1"/>
    </xf>
    <xf numFmtId="0" fontId="3" fillId="2" borderId="14" xfId="0" applyFont="1" applyFill="1" applyBorder="1" applyAlignment="1">
      <alignment horizontal="center" vertical="center" wrapText="1"/>
    </xf>
    <xf numFmtId="0" fontId="3" fillId="5" borderId="1" xfId="0" applyFont="1" applyFill="1" applyBorder="1"/>
    <xf numFmtId="0" fontId="12" fillId="3" borderId="0" xfId="2" applyFont="1" applyFill="1" applyAlignment="1">
      <alignment vertical="center" wrapText="1"/>
    </xf>
    <xf numFmtId="0" fontId="9" fillId="3" borderId="0" xfId="2" applyFont="1" applyFill="1" applyAlignment="1">
      <alignment horizontal="center" vertical="center" wrapText="1"/>
    </xf>
    <xf numFmtId="0" fontId="9" fillId="3" borderId="0" xfId="2" applyFont="1" applyFill="1" applyAlignment="1">
      <alignment vertical="center" wrapText="1"/>
    </xf>
    <xf numFmtId="0" fontId="9" fillId="3" borderId="1" xfId="2" applyFont="1" applyFill="1" applyBorder="1" applyAlignment="1">
      <alignment horizontal="center" vertical="center" wrapText="1"/>
    </xf>
    <xf numFmtId="0" fontId="12" fillId="12" borderId="1" xfId="2" applyFont="1" applyFill="1" applyBorder="1" applyAlignment="1">
      <alignment vertical="center" wrapText="1"/>
    </xf>
    <xf numFmtId="0" fontId="9" fillId="12" borderId="1" xfId="2" applyFont="1" applyFill="1" applyBorder="1" applyAlignment="1">
      <alignment vertical="center" wrapText="1"/>
    </xf>
    <xf numFmtId="0" fontId="9" fillId="3" borderId="1" xfId="2" applyFont="1" applyFill="1" applyBorder="1" applyAlignment="1">
      <alignment vertical="center" wrapText="1"/>
    </xf>
    <xf numFmtId="0" fontId="12" fillId="3" borderId="1" xfId="2" applyFont="1" applyFill="1" applyBorder="1" applyAlignment="1">
      <alignment vertical="center" wrapText="1"/>
    </xf>
    <xf numFmtId="0" fontId="0" fillId="12" borderId="2" xfId="0" applyFill="1" applyBorder="1" applyAlignment="1">
      <alignment vertical="center" wrapText="1"/>
    </xf>
    <xf numFmtId="0" fontId="0" fillId="12" borderId="3" xfId="0" applyFill="1" applyBorder="1" applyAlignment="1">
      <alignment vertical="center" wrapText="1"/>
    </xf>
    <xf numFmtId="0" fontId="0" fillId="12" borderId="4" xfId="0" applyFill="1" applyBorder="1" applyAlignment="1">
      <alignment vertical="center" wrapText="1"/>
    </xf>
    <xf numFmtId="0" fontId="0" fillId="18" borderId="2" xfId="0" applyFill="1" applyBorder="1" applyAlignment="1">
      <alignment vertical="center" wrapText="1"/>
    </xf>
    <xf numFmtId="0" fontId="0" fillId="18" borderId="3" xfId="0" applyFill="1" applyBorder="1" applyAlignment="1">
      <alignment vertical="center" wrapText="1"/>
    </xf>
    <xf numFmtId="0" fontId="0" fillId="18" borderId="4" xfId="0" applyFill="1" applyBorder="1" applyAlignment="1">
      <alignment vertical="center" wrapText="1"/>
    </xf>
    <xf numFmtId="0" fontId="8" fillId="10" borderId="2" xfId="0" applyFont="1" applyFill="1" applyBorder="1" applyAlignment="1">
      <alignment horizontal="center" vertical="center" wrapText="1"/>
    </xf>
    <xf numFmtId="0" fontId="8" fillId="10" borderId="3" xfId="0" applyFont="1" applyFill="1" applyBorder="1" applyAlignment="1">
      <alignment horizontal="center" vertical="center" wrapText="1"/>
    </xf>
    <xf numFmtId="0" fontId="8" fillId="10" borderId="4" xfId="0" applyFont="1" applyFill="1" applyBorder="1" applyAlignment="1">
      <alignment horizontal="center" vertical="center" wrapText="1"/>
    </xf>
    <xf numFmtId="0" fontId="5" fillId="3" borderId="2" xfId="0" applyFont="1" applyFill="1" applyBorder="1" applyAlignment="1">
      <alignment horizontal="center" vertical="center" wrapText="1"/>
    </xf>
    <xf numFmtId="0" fontId="5" fillId="3" borderId="4" xfId="0" applyFont="1" applyFill="1" applyBorder="1" applyAlignment="1">
      <alignment horizontal="center" vertical="center" wrapText="1"/>
    </xf>
    <xf numFmtId="0" fontId="5" fillId="12" borderId="6" xfId="0" applyFont="1" applyFill="1" applyBorder="1" applyAlignment="1">
      <alignment horizontal="center" vertical="center" wrapText="1"/>
    </xf>
    <xf numFmtId="0" fontId="5" fillId="12" borderId="7" xfId="0" applyFont="1" applyFill="1" applyBorder="1" applyAlignment="1">
      <alignment horizontal="center" vertical="center" wrapText="1"/>
    </xf>
    <xf numFmtId="0" fontId="7" fillId="8" borderId="2" xfId="0" applyFont="1" applyFill="1" applyBorder="1" applyAlignment="1">
      <alignment horizontal="center" vertical="center" wrapText="1"/>
    </xf>
    <xf numFmtId="0" fontId="7" fillId="8" borderId="3" xfId="0" applyFont="1" applyFill="1" applyBorder="1" applyAlignment="1">
      <alignment horizontal="center" vertical="center" wrapText="1"/>
    </xf>
    <xf numFmtId="0" fontId="7" fillId="8" borderId="4" xfId="0" applyFont="1" applyFill="1" applyBorder="1" applyAlignment="1">
      <alignment horizontal="center" vertical="center" wrapText="1"/>
    </xf>
    <xf numFmtId="0" fontId="7" fillId="15" borderId="2" xfId="0" applyFont="1" applyFill="1" applyBorder="1" applyAlignment="1">
      <alignment horizontal="center" vertical="center" wrapText="1"/>
    </xf>
    <xf numFmtId="0" fontId="7" fillId="15" borderId="3" xfId="0" applyFont="1" applyFill="1" applyBorder="1" applyAlignment="1">
      <alignment horizontal="center" vertical="center" wrapText="1"/>
    </xf>
    <xf numFmtId="0" fontId="7" fillId="15" borderId="4" xfId="0" applyFont="1" applyFill="1" applyBorder="1" applyAlignment="1">
      <alignment horizontal="center" vertical="center" wrapText="1"/>
    </xf>
    <xf numFmtId="0" fontId="7" fillId="16" borderId="2" xfId="0" applyFont="1" applyFill="1" applyBorder="1" applyAlignment="1">
      <alignment horizontal="center" vertical="center" wrapText="1"/>
    </xf>
    <xf numFmtId="0" fontId="7" fillId="16" borderId="3" xfId="0" applyFont="1" applyFill="1" applyBorder="1" applyAlignment="1">
      <alignment horizontal="center" vertical="center" wrapText="1"/>
    </xf>
    <xf numFmtId="0" fontId="7" fillId="16" borderId="4" xfId="0" applyFont="1" applyFill="1" applyBorder="1" applyAlignment="1">
      <alignment horizontal="center" vertical="center" wrapText="1"/>
    </xf>
    <xf numFmtId="0" fontId="2" fillId="9" borderId="2" xfId="0" applyFont="1" applyFill="1" applyBorder="1" applyAlignment="1">
      <alignment horizontal="center"/>
    </xf>
    <xf numFmtId="0" fontId="2" fillId="9" borderId="3" xfId="0" applyFont="1" applyFill="1" applyBorder="1" applyAlignment="1">
      <alignment horizontal="center"/>
    </xf>
    <xf numFmtId="0" fontId="2" fillId="9" borderId="4" xfId="0" applyFont="1" applyFill="1" applyBorder="1" applyAlignment="1">
      <alignment horizontal="center"/>
    </xf>
    <xf numFmtId="0" fontId="6" fillId="8" borderId="2" xfId="0" applyFont="1" applyFill="1" applyBorder="1" applyAlignment="1">
      <alignment horizontal="center" vertical="center" wrapText="1"/>
    </xf>
    <xf numFmtId="0" fontId="6" fillId="8" borderId="3" xfId="0" applyFont="1" applyFill="1" applyBorder="1" applyAlignment="1">
      <alignment horizontal="center" vertical="center" wrapText="1"/>
    </xf>
    <xf numFmtId="0" fontId="6" fillId="8" borderId="4" xfId="0" applyFont="1" applyFill="1" applyBorder="1" applyAlignment="1">
      <alignment horizontal="center" vertical="center" wrapText="1"/>
    </xf>
    <xf numFmtId="0" fontId="7" fillId="17" borderId="2" xfId="0" applyFont="1" applyFill="1" applyBorder="1" applyAlignment="1">
      <alignment horizontal="center" vertical="center" wrapText="1"/>
    </xf>
    <xf numFmtId="0" fontId="7" fillId="17" borderId="3" xfId="0" applyFont="1" applyFill="1" applyBorder="1" applyAlignment="1">
      <alignment horizontal="center" vertical="center" wrapText="1"/>
    </xf>
    <xf numFmtId="0" fontId="7" fillId="17" borderId="4" xfId="0" applyFont="1" applyFill="1" applyBorder="1" applyAlignment="1">
      <alignment horizontal="center" vertical="center" wrapText="1"/>
    </xf>
    <xf numFmtId="0" fontId="4" fillId="4" borderId="2" xfId="0" applyFont="1" applyFill="1" applyBorder="1" applyAlignment="1">
      <alignment horizontal="center" vertical="center" wrapText="1"/>
    </xf>
    <xf numFmtId="0" fontId="4" fillId="4" borderId="4" xfId="0" applyFont="1" applyFill="1" applyBorder="1" applyAlignment="1">
      <alignment horizontal="center" vertical="center" wrapText="1"/>
    </xf>
    <xf numFmtId="0" fontId="5" fillId="12" borderId="2" xfId="0" applyFont="1" applyFill="1" applyBorder="1" applyAlignment="1">
      <alignment horizontal="center" vertical="center" wrapText="1"/>
    </xf>
    <xf numFmtId="0" fontId="5" fillId="12" borderId="4" xfId="0" applyFont="1" applyFill="1" applyBorder="1" applyAlignment="1">
      <alignment horizontal="center" vertical="center" wrapText="1"/>
    </xf>
    <xf numFmtId="0" fontId="5" fillId="19" borderId="2" xfId="0" applyFont="1" applyFill="1" applyBorder="1" applyAlignment="1">
      <alignment horizontal="left" vertical="center" wrapText="1"/>
    </xf>
    <xf numFmtId="0" fontId="5" fillId="19" borderId="12" xfId="0" applyFont="1" applyFill="1" applyBorder="1" applyAlignment="1">
      <alignment horizontal="left" vertical="center" wrapText="1"/>
    </xf>
    <xf numFmtId="0" fontId="5" fillId="19" borderId="13" xfId="0" applyFont="1" applyFill="1" applyBorder="1" applyAlignment="1">
      <alignment horizontal="left" vertical="center" wrapText="1"/>
    </xf>
    <xf numFmtId="0" fontId="11" fillId="8" borderId="2" xfId="0" applyFont="1" applyFill="1" applyBorder="1" applyAlignment="1">
      <alignment horizontal="center" vertical="center" wrapText="1"/>
    </xf>
    <xf numFmtId="0" fontId="11" fillId="8" borderId="3" xfId="0" applyFont="1" applyFill="1" applyBorder="1" applyAlignment="1">
      <alignment horizontal="center" vertical="center" wrapText="1"/>
    </xf>
    <xf numFmtId="0" fontId="11" fillId="8" borderId="4" xfId="0" applyFont="1" applyFill="1" applyBorder="1" applyAlignment="1">
      <alignment horizontal="center" vertical="center" wrapText="1"/>
    </xf>
    <xf numFmtId="0" fontId="5" fillId="20" borderId="2" xfId="0" applyFont="1" applyFill="1" applyBorder="1" applyAlignment="1">
      <alignment horizontal="left" vertical="center" wrapText="1"/>
    </xf>
    <xf numFmtId="0" fontId="5" fillId="20" borderId="12" xfId="0" applyFont="1" applyFill="1" applyBorder="1" applyAlignment="1">
      <alignment horizontal="left" vertical="center" wrapText="1"/>
    </xf>
    <xf numFmtId="0" fontId="5" fillId="20" borderId="13" xfId="0" applyFont="1" applyFill="1" applyBorder="1" applyAlignment="1">
      <alignment horizontal="left" vertical="center" wrapText="1"/>
    </xf>
    <xf numFmtId="0" fontId="5" fillId="13" borderId="2" xfId="0" applyFont="1" applyFill="1" applyBorder="1" applyAlignment="1">
      <alignment horizontal="left" vertical="center" wrapText="1"/>
    </xf>
    <xf numFmtId="0" fontId="5" fillId="13" borderId="12" xfId="0" applyFont="1" applyFill="1" applyBorder="1" applyAlignment="1">
      <alignment horizontal="left" vertical="center" wrapText="1"/>
    </xf>
    <xf numFmtId="0" fontId="5" fillId="13" borderId="13" xfId="0" applyFont="1" applyFill="1" applyBorder="1" applyAlignment="1">
      <alignment horizontal="left" vertical="center" wrapText="1"/>
    </xf>
    <xf numFmtId="0" fontId="5" fillId="7" borderId="2" xfId="0" applyFont="1" applyFill="1" applyBorder="1" applyAlignment="1">
      <alignment horizontal="left" vertical="center" wrapText="1"/>
    </xf>
    <xf numFmtId="0" fontId="5" fillId="7" borderId="12" xfId="0" applyFont="1" applyFill="1" applyBorder="1" applyAlignment="1">
      <alignment horizontal="left" vertical="center" wrapText="1"/>
    </xf>
    <xf numFmtId="0" fontId="5" fillId="7" borderId="13" xfId="0" applyFont="1" applyFill="1" applyBorder="1" applyAlignment="1">
      <alignment horizontal="left" vertical="center" wrapText="1"/>
    </xf>
    <xf numFmtId="0" fontId="2" fillId="9" borderId="6" xfId="0" applyFont="1" applyFill="1" applyBorder="1" applyAlignment="1">
      <alignment horizontal="center"/>
    </xf>
    <xf numFmtId="0" fontId="2" fillId="9" borderId="8" xfId="0" applyFont="1" applyFill="1" applyBorder="1" applyAlignment="1">
      <alignment horizontal="center"/>
    </xf>
    <xf numFmtId="0" fontId="2" fillId="9" borderId="7" xfId="0" applyFont="1" applyFill="1" applyBorder="1" applyAlignment="1">
      <alignment horizontal="center"/>
    </xf>
    <xf numFmtId="0" fontId="2" fillId="9" borderId="9" xfId="0" applyFont="1" applyFill="1" applyBorder="1" applyAlignment="1">
      <alignment horizontal="center"/>
    </xf>
    <xf numFmtId="0" fontId="2" fillId="9" borderId="10" xfId="0" applyFont="1" applyFill="1" applyBorder="1" applyAlignment="1">
      <alignment horizontal="center"/>
    </xf>
    <xf numFmtId="0" fontId="2" fillId="9" borderId="11" xfId="0" applyFont="1" applyFill="1" applyBorder="1" applyAlignment="1">
      <alignment horizontal="center"/>
    </xf>
    <xf numFmtId="164" fontId="2" fillId="3" borderId="2" xfId="0" applyNumberFormat="1" applyFont="1" applyFill="1" applyBorder="1" applyAlignment="1">
      <alignment horizontal="center" vertical="center" wrapText="1"/>
    </xf>
    <xf numFmtId="164" fontId="2" fillId="3" borderId="3" xfId="0" applyNumberFormat="1" applyFont="1" applyFill="1" applyBorder="1" applyAlignment="1">
      <alignment horizontal="center" vertical="center" wrapText="1"/>
    </xf>
    <xf numFmtId="164" fontId="2" fillId="3" borderId="4" xfId="0" applyNumberFormat="1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4" fontId="2" fillId="3" borderId="2" xfId="0" applyNumberFormat="1" applyFont="1" applyFill="1" applyBorder="1" applyAlignment="1">
      <alignment horizontal="center" vertical="center" wrapText="1"/>
    </xf>
    <xf numFmtId="4" fontId="2" fillId="3" borderId="4" xfId="0" applyNumberFormat="1" applyFont="1" applyFill="1" applyBorder="1" applyAlignment="1">
      <alignment horizontal="center" vertical="center" wrapText="1"/>
    </xf>
    <xf numFmtId="0" fontId="13" fillId="10" borderId="2" xfId="2" applyFont="1" applyFill="1" applyBorder="1" applyAlignment="1">
      <alignment horizontal="center" vertical="center" wrapText="1"/>
    </xf>
    <xf numFmtId="0" fontId="13" fillId="10" borderId="3" xfId="2" applyFont="1" applyFill="1" applyBorder="1" applyAlignment="1">
      <alignment horizontal="center" vertical="center" wrapText="1"/>
    </xf>
    <xf numFmtId="0" fontId="13" fillId="10" borderId="4" xfId="2" applyFont="1" applyFill="1" applyBorder="1" applyAlignment="1">
      <alignment horizontal="center" vertical="center" wrapText="1"/>
    </xf>
    <xf numFmtId="0" fontId="12" fillId="9" borderId="2" xfId="2" applyFont="1" applyFill="1" applyBorder="1" applyAlignment="1">
      <alignment horizontal="center" vertical="center" wrapText="1"/>
    </xf>
    <xf numFmtId="0" fontId="12" fillId="9" borderId="3" xfId="2" applyFont="1" applyFill="1" applyBorder="1" applyAlignment="1">
      <alignment horizontal="center" vertical="center" wrapText="1"/>
    </xf>
    <xf numFmtId="0" fontId="12" fillId="9" borderId="4" xfId="2" applyFont="1" applyFill="1" applyBorder="1" applyAlignment="1">
      <alignment horizontal="center" vertical="center" wrapText="1"/>
    </xf>
  </cellXfs>
  <cellStyles count="3">
    <cellStyle name="Normal" xfId="0" builtinId="0"/>
    <cellStyle name="Normal 2" xfId="2" xr:uid="{FFB6B5E4-86D4-4602-9B93-96A28A48BF0D}"/>
    <cellStyle name="Porcentaje" xfId="1" builtinId="5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CE5CD"/>
      <rgbColor rgb="FFFF00FF"/>
      <rgbColor rgb="FF00FFFF"/>
      <rgbColor rgb="FF9C0006"/>
      <rgbColor rgb="FF008000"/>
      <rgbColor rgb="FF000080"/>
      <rgbColor rgb="FF7F6000"/>
      <rgbColor rgb="FF800080"/>
      <rgbColor rgb="FF008080"/>
      <rgbColor rgb="FFD9D9D9"/>
      <rgbColor rgb="FF878787"/>
      <rgbColor rgb="FF9999FF"/>
      <rgbColor rgb="FF993366"/>
      <rgbColor rgb="FFFFF2CC"/>
      <rgbColor rgb="FFE2EFDA"/>
      <rgbColor rgb="FF660066"/>
      <rgbColor rgb="FFE97C4E"/>
      <rgbColor rgb="FF3266AD"/>
      <rgbColor rgb="FFBDD7EE"/>
      <rgbColor rgb="FF000080"/>
      <rgbColor rgb="FFFF00FF"/>
      <rgbColor rgb="FFF9F9F9"/>
      <rgbColor rgb="FF00FFFF"/>
      <rgbColor rgb="FF800080"/>
      <rgbColor rgb="FF800000"/>
      <rgbColor rgb="FF008080"/>
      <rgbColor rgb="FF0000FF"/>
      <rgbColor rgb="FF00CCFF"/>
      <rgbColor rgb="FFD9EAD3"/>
      <rgbColor rgb="FFC6EFCE"/>
      <rgbColor rgb="FFFFEB9C"/>
      <rgbColor rgb="FFF2F2F2"/>
      <rgbColor rgb="FFFFC7CE"/>
      <rgbColor rgb="FFFFE0E0"/>
      <rgbColor rgb="FFFFCCCC"/>
      <rgbColor rgb="FF2F75B6"/>
      <rgbColor rgb="FF33CCCC"/>
      <rgbColor rgb="FF99CC00"/>
      <rgbColor rgb="FFFFD966"/>
      <rgbColor rgb="FFFF9900"/>
      <rgbColor rgb="FFC55A11"/>
      <rgbColor rgb="FF7B68EE"/>
      <rgbColor rgb="FF70AD47"/>
      <rgbColor rgb="FF003366"/>
      <rgbColor rgb="FF5EAAA8"/>
      <rgbColor rgb="FF003300"/>
      <rgbColor rgb="FF375623"/>
      <rgbColor rgb="FF9C6500"/>
      <rgbColor rgb="FF993366"/>
      <rgbColor rgb="FF333399"/>
      <rgbColor rgb="FF26262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s-CO" sz="1800" b="1" strike="noStrike" spc="-1">
                <a:solidFill>
                  <a:srgbClr val="000000"/>
                </a:solidFill>
                <a:latin typeface="Calibri"/>
              </a:rPr>
              <a:t>Comparativa de Apertura por Bloque (m²)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'Indicadores Resumen'!$B$19</c:f>
              <c:strCache>
                <c:ptCount val="1"/>
                <c:pt idx="0">
                  <c:v>Teórica (m²)</c:v>
                </c:pt>
              </c:strCache>
            </c:strRef>
          </c:tx>
          <c:spPr>
            <a:solidFill>
              <a:srgbClr val="3266AD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s-CO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'Indicadores Resumen'!$A$20:$A$23</c:f>
              <c:strCache>
                <c:ptCount val="4"/>
                <c:pt idx="0">
                  <c:v>Bloque 27</c:v>
                </c:pt>
                <c:pt idx="1">
                  <c:v>Bloque 38</c:v>
                </c:pt>
                <c:pt idx="2">
                  <c:v>Bloque 34</c:v>
                </c:pt>
                <c:pt idx="3">
                  <c:v>Bloque 35</c:v>
                </c:pt>
              </c:strCache>
            </c:strRef>
          </c:cat>
          <c:val>
            <c:numRef>
              <c:f>'Indicadores Resumen'!$B$20:$B$23</c:f>
              <c:numCache>
                <c:formatCode>#,##0.00</c:formatCode>
                <c:ptCount val="4"/>
                <c:pt idx="0">
                  <c:v>1538.88</c:v>
                </c:pt>
                <c:pt idx="1">
                  <c:v>1736</c:v>
                </c:pt>
                <c:pt idx="2">
                  <c:v>1803.2</c:v>
                </c:pt>
                <c:pt idx="3">
                  <c:v>1637.44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22B-4DDB-ADD0-57BCF2EC097D}"/>
            </c:ext>
          </c:extLst>
        </c:ser>
        <c:ser>
          <c:idx val="1"/>
          <c:order val="1"/>
          <c:tx>
            <c:strRef>
              <c:f>'Indicadores Resumen'!$D$19</c:f>
              <c:strCache>
                <c:ptCount val="1"/>
                <c:pt idx="0">
                  <c:v>Máx. Permitida (m²)</c:v>
                </c:pt>
              </c:strCache>
            </c:strRef>
          </c:tx>
          <c:spPr>
            <a:solidFill>
              <a:srgbClr val="5EAAA8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s-CO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'Indicadores Resumen'!$A$20:$A$23</c:f>
              <c:strCache>
                <c:ptCount val="4"/>
                <c:pt idx="0">
                  <c:v>Bloque 27</c:v>
                </c:pt>
                <c:pt idx="1">
                  <c:v>Bloque 38</c:v>
                </c:pt>
                <c:pt idx="2">
                  <c:v>Bloque 34</c:v>
                </c:pt>
                <c:pt idx="3">
                  <c:v>Bloque 35</c:v>
                </c:pt>
              </c:strCache>
            </c:strRef>
          </c:cat>
          <c:val>
            <c:numRef>
              <c:f>'Indicadores Resumen'!$E$20:$E$23</c:f>
              <c:numCache>
                <c:formatCode>#,##0.00</c:formatCode>
                <c:ptCount val="4"/>
              </c:numCache>
            </c:numRef>
          </c:val>
          <c:extLst>
            <c:ext xmlns:c16="http://schemas.microsoft.com/office/drawing/2014/chart" uri="{C3380CC4-5D6E-409C-BE32-E72D297353CC}">
              <c16:uniqueId val="{00000001-B22B-4DDB-ADD0-57BCF2EC097D}"/>
            </c:ext>
          </c:extLst>
        </c:ser>
        <c:ser>
          <c:idx val="2"/>
          <c:order val="2"/>
          <c:tx>
            <c:strRef>
              <c:f>'Indicadores Resumen'!$F$19</c:f>
              <c:strCache>
                <c:ptCount val="1"/>
                <c:pt idx="0">
                  <c:v>Real (m²)</c:v>
                </c:pt>
              </c:strCache>
            </c:strRef>
          </c:tx>
          <c:spPr>
            <a:solidFill>
              <a:srgbClr val="E97C4E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s-CO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'Indicadores Resumen'!$A$20:$A$23</c:f>
              <c:strCache>
                <c:ptCount val="4"/>
                <c:pt idx="0">
                  <c:v>Bloque 27</c:v>
                </c:pt>
                <c:pt idx="1">
                  <c:v>Bloque 38</c:v>
                </c:pt>
                <c:pt idx="2">
                  <c:v>Bloque 34</c:v>
                </c:pt>
                <c:pt idx="3">
                  <c:v>Bloque 35</c:v>
                </c:pt>
              </c:strCache>
            </c:strRef>
          </c:cat>
          <c:val>
            <c:numRef>
              <c:f>'Indicadores Resumen'!$F$20:$F$23</c:f>
              <c:numCache>
                <c:formatCode>#,##0.00</c:formatCode>
                <c:ptCount val="4"/>
                <c:pt idx="0">
                  <c:v>1402.88</c:v>
                </c:pt>
                <c:pt idx="1">
                  <c:v>1555.2</c:v>
                </c:pt>
                <c:pt idx="2">
                  <c:v>1605.84</c:v>
                </c:pt>
                <c:pt idx="3">
                  <c:v>1291.2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B22B-4DDB-ADD0-57BCF2EC097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98464234"/>
        <c:axId val="47231762"/>
      </c:barChart>
      <c:catAx>
        <c:axId val="98464234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s-CO" sz="1000" b="1" strike="noStrike" spc="-1">
                    <a:solidFill>
                      <a:srgbClr val="000000"/>
                    </a:solidFill>
                    <a:latin typeface="Calibri"/>
                  </a:rPr>
                  <a:t>Bloque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s-CO"/>
          </a:p>
        </c:txPr>
        <c:crossAx val="47231762"/>
        <c:crosses val="autoZero"/>
        <c:auto val="1"/>
        <c:lblAlgn val="ctr"/>
        <c:lblOffset val="100"/>
        <c:noMultiLvlLbl val="0"/>
      </c:catAx>
      <c:valAx>
        <c:axId val="47231762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s-CO" sz="1000" b="1" strike="noStrike" spc="-1">
                    <a:solidFill>
                      <a:srgbClr val="000000"/>
                    </a:solidFill>
                    <a:latin typeface="Calibri"/>
                  </a:rPr>
                  <a:t>Apertura (m²)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#,##0.0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s-CO"/>
          </a:p>
        </c:txPr>
        <c:crossAx val="98464234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s-CO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342900</xdr:colOff>
      <xdr:row>5</xdr:row>
      <xdr:rowOff>123825</xdr:rowOff>
    </xdr:from>
    <xdr:to>
      <xdr:col>17</xdr:col>
      <xdr:colOff>533400</xdr:colOff>
      <xdr:row>20</xdr:row>
      <xdr:rowOff>177800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DE6C686-5B34-445E-8A41-9035604999C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22"/>
  <sheetViews>
    <sheetView tabSelected="1" zoomScaleNormal="100" workbookViewId="0">
      <pane xSplit="1" ySplit="4" topLeftCell="B5" activePane="bottomRight" state="frozen"/>
      <selection pane="topRight" activeCell="B1" sqref="B1"/>
      <selection pane="bottomLeft" activeCell="A5" sqref="A5"/>
      <selection pane="bottomRight" activeCell="A10" sqref="A10:R10"/>
    </sheetView>
  </sheetViews>
  <sheetFormatPr baseColWidth="10" defaultColWidth="8.6328125" defaultRowHeight="14.5" x14ac:dyDescent="0.35"/>
  <cols>
    <col min="1" max="17" width="14" customWidth="1"/>
    <col min="18" max="18" width="12" customWidth="1"/>
  </cols>
  <sheetData>
    <row r="1" spans="1:18" ht="30" customHeight="1" thickBot="1" x14ac:dyDescent="0.4">
      <c r="A1" s="67" t="s">
        <v>0</v>
      </c>
      <c r="B1" s="68"/>
      <c r="C1" s="68"/>
      <c r="D1" s="68"/>
      <c r="E1" s="68"/>
      <c r="F1" s="68"/>
      <c r="G1" s="68"/>
      <c r="H1" s="68"/>
      <c r="I1" s="68"/>
      <c r="J1" s="68"/>
      <c r="K1" s="68"/>
      <c r="L1" s="68"/>
      <c r="M1" s="68"/>
      <c r="N1" s="68"/>
      <c r="O1" s="68"/>
      <c r="P1" s="68"/>
      <c r="Q1" s="68"/>
      <c r="R1" s="69"/>
    </row>
    <row r="2" spans="1:18" ht="15" thickBot="1" x14ac:dyDescent="0.4">
      <c r="A2" s="64"/>
      <c r="B2" s="65"/>
      <c r="C2" s="65"/>
      <c r="D2" s="65"/>
      <c r="E2" s="65"/>
      <c r="F2" s="65"/>
      <c r="G2" s="65"/>
      <c r="H2" s="65"/>
      <c r="I2" s="65"/>
      <c r="J2" s="65"/>
      <c r="K2" s="65"/>
      <c r="L2" s="65"/>
      <c r="M2" s="65"/>
      <c r="N2" s="65"/>
      <c r="O2" s="65"/>
      <c r="P2" s="65"/>
      <c r="Q2" s="65"/>
      <c r="R2" s="66"/>
    </row>
    <row r="3" spans="1:18" ht="28" customHeight="1" thickBot="1" x14ac:dyDescent="0.4">
      <c r="A3" s="55" t="s">
        <v>1</v>
      </c>
      <c r="B3" s="56"/>
      <c r="C3" s="56"/>
      <c r="D3" s="56"/>
      <c r="E3" s="56"/>
      <c r="F3" s="56"/>
      <c r="G3" s="56"/>
      <c r="H3" s="57"/>
      <c r="I3" s="58" t="s">
        <v>2</v>
      </c>
      <c r="J3" s="59"/>
      <c r="K3" s="60"/>
      <c r="L3" s="61" t="s">
        <v>3</v>
      </c>
      <c r="M3" s="62"/>
      <c r="N3" s="63"/>
      <c r="O3" s="70" t="s">
        <v>4</v>
      </c>
      <c r="P3" s="71"/>
      <c r="Q3" s="71"/>
      <c r="R3" s="72"/>
    </row>
    <row r="4" spans="1:18" ht="35" thickBot="1" x14ac:dyDescent="0.4">
      <c r="A4" s="1" t="s">
        <v>5</v>
      </c>
      <c r="B4" s="1" t="s">
        <v>6</v>
      </c>
      <c r="C4" s="1" t="s">
        <v>7</v>
      </c>
      <c r="D4" s="1" t="s">
        <v>8</v>
      </c>
      <c r="E4" s="1" t="s">
        <v>34</v>
      </c>
      <c r="F4" s="1" t="s">
        <v>35</v>
      </c>
      <c r="G4" s="1" t="s">
        <v>36</v>
      </c>
      <c r="H4" s="1" t="s">
        <v>37</v>
      </c>
      <c r="I4" s="1" t="s">
        <v>38</v>
      </c>
      <c r="J4" s="1" t="s">
        <v>39</v>
      </c>
      <c r="K4" s="1" t="s">
        <v>40</v>
      </c>
      <c r="L4" s="1" t="s">
        <v>41</v>
      </c>
      <c r="M4" s="1" t="s">
        <v>42</v>
      </c>
      <c r="N4" s="1" t="s">
        <v>43</v>
      </c>
      <c r="O4" s="1" t="s">
        <v>44</v>
      </c>
      <c r="P4" s="1" t="s">
        <v>45</v>
      </c>
      <c r="Q4" s="73" t="s">
        <v>46</v>
      </c>
      <c r="R4" s="74"/>
    </row>
    <row r="5" spans="1:18" ht="15" thickBot="1" x14ac:dyDescent="0.4">
      <c r="A5" s="7" t="s">
        <v>9</v>
      </c>
      <c r="B5" s="3">
        <v>18</v>
      </c>
      <c r="C5" s="3">
        <v>14</v>
      </c>
      <c r="D5" s="3">
        <v>0</v>
      </c>
      <c r="E5" s="3">
        <v>4</v>
      </c>
      <c r="F5" s="3">
        <v>9.6</v>
      </c>
      <c r="G5" s="4">
        <v>3.2</v>
      </c>
      <c r="H5" s="3">
        <v>2.5</v>
      </c>
      <c r="I5" s="3">
        <v>4.2</v>
      </c>
      <c r="J5" s="3">
        <v>3.7</v>
      </c>
      <c r="K5" s="3">
        <v>3.2</v>
      </c>
      <c r="L5" s="3">
        <v>3.6</v>
      </c>
      <c r="M5" s="3">
        <v>4</v>
      </c>
      <c r="N5" s="3">
        <v>3.6</v>
      </c>
      <c r="O5" s="3">
        <v>0</v>
      </c>
      <c r="P5" s="3">
        <v>0</v>
      </c>
      <c r="Q5" s="51">
        <v>0</v>
      </c>
      <c r="R5" s="52"/>
    </row>
    <row r="6" spans="1:18" ht="15" thickBot="1" x14ac:dyDescent="0.4">
      <c r="A6" s="6" t="s">
        <v>10</v>
      </c>
      <c r="B6" s="2">
        <v>18</v>
      </c>
      <c r="C6" s="2">
        <v>14</v>
      </c>
      <c r="D6" s="2">
        <v>28</v>
      </c>
      <c r="E6" s="2">
        <v>4</v>
      </c>
      <c r="F6" s="2">
        <v>9.6</v>
      </c>
      <c r="G6" s="2">
        <v>3.2</v>
      </c>
      <c r="H6" s="2">
        <v>2.5</v>
      </c>
      <c r="I6" s="2">
        <v>4.2</v>
      </c>
      <c r="J6" s="2">
        <v>3.6</v>
      </c>
      <c r="K6" s="2">
        <v>3.2</v>
      </c>
      <c r="L6" s="2">
        <v>3.6</v>
      </c>
      <c r="M6" s="2">
        <v>3.8</v>
      </c>
      <c r="N6" s="2">
        <v>3.5</v>
      </c>
      <c r="O6" s="2">
        <v>2.2000000000000002</v>
      </c>
      <c r="P6" s="2">
        <v>2.2000000000000002</v>
      </c>
      <c r="Q6" s="75">
        <v>2</v>
      </c>
      <c r="R6" s="76"/>
    </row>
    <row r="7" spans="1:18" ht="15" thickBot="1" x14ac:dyDescent="0.4">
      <c r="A7" s="7" t="s">
        <v>11</v>
      </c>
      <c r="B7" s="3">
        <v>20</v>
      </c>
      <c r="C7" s="3">
        <v>14</v>
      </c>
      <c r="D7" s="3">
        <v>28</v>
      </c>
      <c r="E7" s="3">
        <v>4</v>
      </c>
      <c r="F7" s="3">
        <v>9.6</v>
      </c>
      <c r="G7" s="3">
        <v>3.2</v>
      </c>
      <c r="H7" s="3">
        <v>2.5</v>
      </c>
      <c r="I7" s="3">
        <v>4.2</v>
      </c>
      <c r="J7" s="3">
        <v>3.85</v>
      </c>
      <c r="K7" s="3">
        <v>3.55</v>
      </c>
      <c r="L7" s="3">
        <v>3.6</v>
      </c>
      <c r="M7" s="3">
        <v>3.5</v>
      </c>
      <c r="N7" s="3">
        <v>3.3</v>
      </c>
      <c r="O7" s="3">
        <v>2.2000000000000002</v>
      </c>
      <c r="P7" s="3">
        <v>2.2000000000000002</v>
      </c>
      <c r="Q7" s="51">
        <v>2</v>
      </c>
      <c r="R7" s="52"/>
    </row>
    <row r="8" spans="1:18" ht="15" thickBot="1" x14ac:dyDescent="0.4">
      <c r="A8" s="6" t="s">
        <v>12</v>
      </c>
      <c r="B8" s="2">
        <v>18</v>
      </c>
      <c r="C8" s="2">
        <v>14</v>
      </c>
      <c r="D8" s="5">
        <v>14</v>
      </c>
      <c r="E8" s="5">
        <v>4</v>
      </c>
      <c r="F8" s="5">
        <v>9.6</v>
      </c>
      <c r="G8" s="5">
        <v>3.2</v>
      </c>
      <c r="H8" s="5">
        <v>2.5</v>
      </c>
      <c r="I8" s="5">
        <v>4.2</v>
      </c>
      <c r="J8" s="5">
        <v>3.9</v>
      </c>
      <c r="K8" s="5">
        <v>3.4</v>
      </c>
      <c r="L8" s="5">
        <v>3.6</v>
      </c>
      <c r="M8" s="5">
        <v>3.55</v>
      </c>
      <c r="N8" s="5">
        <v>2.75</v>
      </c>
      <c r="O8" s="5">
        <v>2.2000000000000002</v>
      </c>
      <c r="P8" s="5">
        <v>2.2000000000000002</v>
      </c>
      <c r="Q8" s="53">
        <v>2</v>
      </c>
      <c r="R8" s="54"/>
    </row>
    <row r="9" spans="1:18" ht="15" thickBot="1" x14ac:dyDescent="0.4">
      <c r="A9" s="64"/>
      <c r="B9" s="65"/>
      <c r="C9" s="65"/>
      <c r="D9" s="65"/>
      <c r="E9" s="65"/>
      <c r="F9" s="65"/>
      <c r="G9" s="65"/>
      <c r="H9" s="65"/>
      <c r="I9" s="65"/>
      <c r="J9" s="65"/>
      <c r="K9" s="65"/>
      <c r="L9" s="65"/>
      <c r="M9" s="65"/>
      <c r="N9" s="65"/>
      <c r="O9" s="65"/>
      <c r="P9" s="65"/>
      <c r="Q9" s="65"/>
      <c r="R9" s="66"/>
    </row>
    <row r="10" spans="1:18" ht="34.5" customHeight="1" thickBot="1" x14ac:dyDescent="0.4">
      <c r="A10" s="55" t="s">
        <v>13</v>
      </c>
      <c r="B10" s="56"/>
      <c r="C10" s="56"/>
      <c r="D10" s="56"/>
      <c r="E10" s="56"/>
      <c r="F10" s="56"/>
      <c r="G10" s="56"/>
      <c r="H10" s="56"/>
      <c r="I10" s="56"/>
      <c r="J10" s="56"/>
      <c r="K10" s="56"/>
      <c r="L10" s="56"/>
      <c r="M10" s="56"/>
      <c r="N10" s="56"/>
      <c r="O10" s="56"/>
      <c r="P10" s="56"/>
      <c r="Q10" s="56"/>
      <c r="R10" s="57"/>
    </row>
    <row r="11" spans="1:18" ht="46.5" thickBot="1" x14ac:dyDescent="0.4">
      <c r="A11" s="1" t="s">
        <v>5</v>
      </c>
      <c r="B11" s="1" t="s">
        <v>47</v>
      </c>
      <c r="C11" s="1" t="s">
        <v>48</v>
      </c>
      <c r="D11" s="1" t="s">
        <v>49</v>
      </c>
      <c r="E11" s="1" t="s">
        <v>50</v>
      </c>
      <c r="F11" s="1" t="s">
        <v>51</v>
      </c>
      <c r="G11" s="1" t="s">
        <v>52</v>
      </c>
      <c r="H11" s="1" t="s">
        <v>53</v>
      </c>
      <c r="I11" s="1" t="s">
        <v>54</v>
      </c>
      <c r="J11" s="1" t="s">
        <v>55</v>
      </c>
      <c r="K11" s="1" t="s">
        <v>56</v>
      </c>
      <c r="L11" s="1" t="s">
        <v>57</v>
      </c>
      <c r="M11" s="1" t="s">
        <v>58</v>
      </c>
      <c r="N11" s="1" t="s">
        <v>59</v>
      </c>
      <c r="O11" s="1" t="s">
        <v>60</v>
      </c>
      <c r="P11" s="1" t="s">
        <v>61</v>
      </c>
      <c r="Q11" s="1" t="s">
        <v>62</v>
      </c>
      <c r="R11" s="1" t="s">
        <v>63</v>
      </c>
    </row>
    <row r="12" spans="1:18" ht="15" thickBot="1" x14ac:dyDescent="0.4">
      <c r="A12" s="6" t="s">
        <v>9</v>
      </c>
      <c r="B12" s="8">
        <v>571.20000000000005</v>
      </c>
      <c r="C12" s="2">
        <v>503.2</v>
      </c>
      <c r="D12" s="2">
        <v>435.2</v>
      </c>
      <c r="E12" s="2">
        <v>967.68</v>
      </c>
      <c r="F12" s="2">
        <v>1075.2</v>
      </c>
      <c r="G12" s="2">
        <v>967.68</v>
      </c>
      <c r="H12" s="2">
        <v>0</v>
      </c>
      <c r="I12" s="2">
        <v>0</v>
      </c>
      <c r="J12" s="2">
        <v>0</v>
      </c>
      <c r="K12" s="9">
        <v>1538.88</v>
      </c>
      <c r="L12" s="9">
        <v>1578.4</v>
      </c>
      <c r="M12" s="9">
        <v>1402.88</v>
      </c>
      <c r="N12" s="12">
        <v>175.52</v>
      </c>
      <c r="O12" s="13">
        <f>IFERROR(L12/K12,"NO APLICA")</f>
        <v>1.0256810147639841</v>
      </c>
      <c r="P12" s="13">
        <f>IFERROR(M12/L12,"NO APLICA")</f>
        <v>0.88879878357830722</v>
      </c>
      <c r="Q12" s="13">
        <f>IFERROR(M12/K12,"NO APLICA")</f>
        <v>0.91162403826159288</v>
      </c>
      <c r="R12" s="13">
        <f>IFERROR(1-P12,"NO APLICA")</f>
        <v>0.11120121642169278</v>
      </c>
    </row>
    <row r="13" spans="1:18" ht="15" thickBot="1" x14ac:dyDescent="0.4">
      <c r="A13" s="7" t="s">
        <v>10</v>
      </c>
      <c r="B13" s="3">
        <v>571.20000000000005</v>
      </c>
      <c r="C13" s="3">
        <v>489.6</v>
      </c>
      <c r="D13" s="3">
        <v>435.2</v>
      </c>
      <c r="E13" s="3">
        <v>967.68</v>
      </c>
      <c r="F13" s="3">
        <v>1021.44</v>
      </c>
      <c r="G13" s="3">
        <v>940.8</v>
      </c>
      <c r="H13" s="3">
        <v>197.12</v>
      </c>
      <c r="I13" s="3">
        <v>197.12</v>
      </c>
      <c r="J13" s="3">
        <v>179.2</v>
      </c>
      <c r="K13" s="10">
        <v>1736</v>
      </c>
      <c r="L13" s="10">
        <v>1708.16</v>
      </c>
      <c r="M13" s="10">
        <v>1555.2</v>
      </c>
      <c r="N13" s="11">
        <v>152.96</v>
      </c>
      <c r="O13" s="14">
        <f t="shared" ref="O13:O15" si="0">IFERROR(L13/K13,"NO APLICA")</f>
        <v>0.98396313364055299</v>
      </c>
      <c r="P13" s="14">
        <f t="shared" ref="P13:P15" si="1">IFERROR(M13/L13,"NO APLICA")</f>
        <v>0.91045335331584865</v>
      </c>
      <c r="Q13" s="14">
        <f t="shared" ref="Q13:Q15" si="2">IFERROR(M13/K13,"NO APLICA")</f>
        <v>0.89585253456221203</v>
      </c>
      <c r="R13" s="14">
        <f t="shared" ref="R13:R15" si="3">IFERROR(1-P13,"NO APLICA")</f>
        <v>8.9546646684151354E-2</v>
      </c>
    </row>
    <row r="14" spans="1:18" ht="15" thickBot="1" x14ac:dyDescent="0.4">
      <c r="A14" s="6" t="s">
        <v>11</v>
      </c>
      <c r="B14" s="2">
        <v>638.4</v>
      </c>
      <c r="C14" s="2">
        <v>585.20000000000005</v>
      </c>
      <c r="D14" s="2">
        <v>539.6</v>
      </c>
      <c r="E14" s="2">
        <v>967.68</v>
      </c>
      <c r="F14" s="8">
        <v>940.8</v>
      </c>
      <c r="G14" s="2">
        <v>887.04</v>
      </c>
      <c r="H14" s="8">
        <v>197.12</v>
      </c>
      <c r="I14" s="2">
        <v>197.12</v>
      </c>
      <c r="J14" s="2">
        <v>179.2</v>
      </c>
      <c r="K14" s="9">
        <v>1803.2</v>
      </c>
      <c r="L14" s="9">
        <v>1723.12</v>
      </c>
      <c r="M14" s="9">
        <v>1605.84</v>
      </c>
      <c r="N14" s="12">
        <v>117.28</v>
      </c>
      <c r="O14" s="13">
        <f t="shared" si="0"/>
        <v>0.9555900621118012</v>
      </c>
      <c r="P14" s="13">
        <f t="shared" si="1"/>
        <v>0.93193741585031808</v>
      </c>
      <c r="Q14" s="13">
        <f t="shared" si="2"/>
        <v>0.89055013309671693</v>
      </c>
      <c r="R14" s="13">
        <f t="shared" si="3"/>
        <v>6.8062584149681915E-2</v>
      </c>
    </row>
    <row r="15" spans="1:18" ht="15" thickBot="1" x14ac:dyDescent="0.4">
      <c r="A15" s="7" t="s">
        <v>12</v>
      </c>
      <c r="B15" s="3">
        <v>571.20000000000005</v>
      </c>
      <c r="C15" s="3">
        <v>530.4</v>
      </c>
      <c r="D15" s="3">
        <v>462.4</v>
      </c>
      <c r="E15" s="3">
        <v>967.68</v>
      </c>
      <c r="F15" s="3">
        <v>954.24</v>
      </c>
      <c r="G15" s="3">
        <v>739.2</v>
      </c>
      <c r="H15" s="3">
        <v>98.56</v>
      </c>
      <c r="I15" s="3">
        <v>98.56</v>
      </c>
      <c r="J15" s="3">
        <v>89.6</v>
      </c>
      <c r="K15" s="10">
        <v>1637.44</v>
      </c>
      <c r="L15" s="10">
        <v>1583.2</v>
      </c>
      <c r="M15" s="10">
        <v>1291.2</v>
      </c>
      <c r="N15" s="11">
        <v>292</v>
      </c>
      <c r="O15" s="14">
        <f t="shared" si="0"/>
        <v>0.96687512214187998</v>
      </c>
      <c r="P15" s="14">
        <f t="shared" si="1"/>
        <v>0.81556341586659931</v>
      </c>
      <c r="Q15" s="14">
        <f t="shared" si="2"/>
        <v>0.78854797733046711</v>
      </c>
      <c r="R15" s="14">
        <f t="shared" si="3"/>
        <v>0.18443658413340069</v>
      </c>
    </row>
    <row r="16" spans="1:18" ht="15" thickBot="1" x14ac:dyDescent="0.4"/>
    <row r="17" spans="1:18" ht="29" customHeight="1" thickBot="1" x14ac:dyDescent="0.4">
      <c r="A17" s="48" t="s">
        <v>64</v>
      </c>
      <c r="B17" s="49"/>
      <c r="C17" s="49"/>
      <c r="D17" s="49"/>
      <c r="E17" s="49"/>
      <c r="F17" s="49"/>
      <c r="G17" s="49"/>
      <c r="H17" s="49"/>
      <c r="I17" s="49"/>
      <c r="J17" s="49"/>
      <c r="K17" s="49"/>
      <c r="L17" s="49"/>
      <c r="M17" s="49"/>
      <c r="N17" s="49"/>
      <c r="O17" s="49"/>
      <c r="P17" s="49"/>
      <c r="Q17" s="49"/>
      <c r="R17" s="50"/>
    </row>
    <row r="18" spans="1:18" ht="38" customHeight="1" thickBot="1" x14ac:dyDescent="0.4">
      <c r="A18" s="15" t="s">
        <v>65</v>
      </c>
      <c r="B18" s="45" t="s">
        <v>66</v>
      </c>
      <c r="C18" s="46"/>
      <c r="D18" s="46"/>
      <c r="E18" s="46"/>
      <c r="F18" s="46"/>
      <c r="G18" s="46"/>
      <c r="H18" s="46"/>
      <c r="I18" s="46"/>
      <c r="J18" s="46"/>
      <c r="K18" s="46"/>
      <c r="L18" s="46"/>
      <c r="M18" s="46"/>
      <c r="N18" s="46"/>
      <c r="O18" s="46"/>
      <c r="P18" s="46"/>
      <c r="Q18" s="46"/>
      <c r="R18" s="47"/>
    </row>
    <row r="19" spans="1:18" ht="44" thickBot="1" x14ac:dyDescent="0.4">
      <c r="A19" s="15" t="s">
        <v>67</v>
      </c>
      <c r="B19" s="42" t="s">
        <v>68</v>
      </c>
      <c r="C19" s="43"/>
      <c r="D19" s="43"/>
      <c r="E19" s="43"/>
      <c r="F19" s="43"/>
      <c r="G19" s="43"/>
      <c r="H19" s="43"/>
      <c r="I19" s="43"/>
      <c r="J19" s="43"/>
      <c r="K19" s="43"/>
      <c r="L19" s="43"/>
      <c r="M19" s="43"/>
      <c r="N19" s="43"/>
      <c r="O19" s="43"/>
      <c r="P19" s="43"/>
      <c r="Q19" s="43"/>
      <c r="R19" s="44"/>
    </row>
    <row r="20" spans="1:18" ht="32.5" customHeight="1" thickBot="1" x14ac:dyDescent="0.4">
      <c r="A20" s="15" t="s">
        <v>69</v>
      </c>
      <c r="B20" s="45" t="s">
        <v>70</v>
      </c>
      <c r="C20" s="46"/>
      <c r="D20" s="46"/>
      <c r="E20" s="46"/>
      <c r="F20" s="46"/>
      <c r="G20" s="46"/>
      <c r="H20" s="46"/>
      <c r="I20" s="46"/>
      <c r="J20" s="46"/>
      <c r="K20" s="46"/>
      <c r="L20" s="46"/>
      <c r="M20" s="46"/>
      <c r="N20" s="46"/>
      <c r="O20" s="46"/>
      <c r="P20" s="46"/>
      <c r="Q20" s="46"/>
      <c r="R20" s="47"/>
    </row>
    <row r="21" spans="1:18" ht="41" customHeight="1" thickBot="1" x14ac:dyDescent="0.4">
      <c r="A21" s="15" t="s">
        <v>71</v>
      </c>
      <c r="B21" s="42" t="s">
        <v>72</v>
      </c>
      <c r="C21" s="43"/>
      <c r="D21" s="43"/>
      <c r="E21" s="43"/>
      <c r="F21" s="43"/>
      <c r="G21" s="43"/>
      <c r="H21" s="43"/>
      <c r="I21" s="43"/>
      <c r="J21" s="43"/>
      <c r="K21" s="43"/>
      <c r="L21" s="43"/>
      <c r="M21" s="43"/>
      <c r="N21" s="43"/>
      <c r="O21" s="43"/>
      <c r="P21" s="43"/>
      <c r="Q21" s="43"/>
      <c r="R21" s="44"/>
    </row>
    <row r="22" spans="1:18" ht="29.5" thickBot="1" x14ac:dyDescent="0.4">
      <c r="A22" s="15" t="s">
        <v>73</v>
      </c>
      <c r="B22" s="45" t="s">
        <v>74</v>
      </c>
      <c r="C22" s="46"/>
      <c r="D22" s="46"/>
      <c r="E22" s="46"/>
      <c r="F22" s="46"/>
      <c r="G22" s="46"/>
      <c r="H22" s="46"/>
      <c r="I22" s="46"/>
      <c r="J22" s="46"/>
      <c r="K22" s="46"/>
      <c r="L22" s="46"/>
      <c r="M22" s="46"/>
      <c r="N22" s="46"/>
      <c r="O22" s="46"/>
      <c r="P22" s="46"/>
      <c r="Q22" s="46"/>
      <c r="R22" s="47"/>
    </row>
  </sheetData>
  <mergeCells count="19">
    <mergeCell ref="A1:R1"/>
    <mergeCell ref="A2:R2"/>
    <mergeCell ref="O3:R3"/>
    <mergeCell ref="Q4:R4"/>
    <mergeCell ref="Q5:R5"/>
    <mergeCell ref="Q7:R7"/>
    <mergeCell ref="Q8:R8"/>
    <mergeCell ref="A10:R10"/>
    <mergeCell ref="B18:R18"/>
    <mergeCell ref="A3:H3"/>
    <mergeCell ref="I3:K3"/>
    <mergeCell ref="L3:N3"/>
    <mergeCell ref="A9:R9"/>
    <mergeCell ref="Q6:R6"/>
    <mergeCell ref="B19:R19"/>
    <mergeCell ref="B20:R20"/>
    <mergeCell ref="B21:R21"/>
    <mergeCell ref="B22:R22"/>
    <mergeCell ref="A17:R17"/>
  </mergeCells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30"/>
  <sheetViews>
    <sheetView zoomScaleNormal="100" workbookViewId="0">
      <pane ySplit="3" topLeftCell="A4" activePane="bottomLeft" state="frozen"/>
      <selection pane="bottomLeft" activeCell="I3" sqref="I3"/>
    </sheetView>
  </sheetViews>
  <sheetFormatPr baseColWidth="10" defaultColWidth="8.6328125" defaultRowHeight="14.5" x14ac:dyDescent="0.35"/>
  <cols>
    <col min="1" max="1" width="35" customWidth="1"/>
    <col min="2" max="7" width="18" customWidth="1"/>
  </cols>
  <sheetData>
    <row r="1" spans="1:7" ht="30" customHeight="1" thickBot="1" x14ac:dyDescent="0.4">
      <c r="A1" s="67" t="s">
        <v>14</v>
      </c>
      <c r="B1" s="68"/>
      <c r="C1" s="68"/>
      <c r="D1" s="68"/>
      <c r="E1" s="68"/>
      <c r="F1" s="68"/>
      <c r="G1" s="69"/>
    </row>
    <row r="2" spans="1:7" ht="15" thickBot="1" x14ac:dyDescent="0.4">
      <c r="A2" s="64"/>
      <c r="B2" s="65"/>
      <c r="C2" s="65"/>
      <c r="D2" s="65"/>
      <c r="E2" s="65"/>
      <c r="F2" s="65"/>
      <c r="G2" s="66"/>
    </row>
    <row r="3" spans="1:7" ht="39.75" customHeight="1" thickBot="1" x14ac:dyDescent="0.4">
      <c r="A3" s="17" t="s">
        <v>5</v>
      </c>
      <c r="B3" s="17" t="s">
        <v>15</v>
      </c>
      <c r="C3" s="17" t="s">
        <v>16</v>
      </c>
      <c r="D3" s="17" t="s">
        <v>17</v>
      </c>
      <c r="E3" s="17" t="s">
        <v>18</v>
      </c>
      <c r="F3" s="17" t="s">
        <v>19</v>
      </c>
      <c r="G3" s="17" t="s">
        <v>20</v>
      </c>
    </row>
    <row r="4" spans="1:7" ht="23.5" customHeight="1" thickBot="1" x14ac:dyDescent="0.4">
      <c r="A4" s="18" t="s">
        <v>9</v>
      </c>
      <c r="B4" s="21">
        <v>1538.88</v>
      </c>
      <c r="C4" s="21">
        <v>1578.4</v>
      </c>
      <c r="D4" s="21">
        <v>1402.88</v>
      </c>
      <c r="E4" s="22">
        <v>175.52</v>
      </c>
      <c r="F4" s="26">
        <v>0.91162403826159299</v>
      </c>
      <c r="G4" s="25">
        <v>0.88879878357830699</v>
      </c>
    </row>
    <row r="5" spans="1:7" ht="24.5" customHeight="1" thickBot="1" x14ac:dyDescent="0.4">
      <c r="A5" s="19" t="s">
        <v>10</v>
      </c>
      <c r="B5" s="20">
        <v>1736</v>
      </c>
      <c r="C5" s="20">
        <v>1708.16</v>
      </c>
      <c r="D5" s="20">
        <v>1555.2</v>
      </c>
      <c r="E5" s="23">
        <v>152.96</v>
      </c>
      <c r="F5" s="24">
        <v>0.89585253456221203</v>
      </c>
      <c r="G5" s="27">
        <v>0.91045335331584898</v>
      </c>
    </row>
    <row r="6" spans="1:7" ht="26" customHeight="1" thickBot="1" x14ac:dyDescent="0.4">
      <c r="A6" s="18" t="s">
        <v>11</v>
      </c>
      <c r="B6" s="21">
        <v>1803.2</v>
      </c>
      <c r="C6" s="21">
        <v>1723.12</v>
      </c>
      <c r="D6" s="21">
        <v>1605.84</v>
      </c>
      <c r="E6" s="22">
        <v>117.28</v>
      </c>
      <c r="F6" s="25">
        <v>0.89055013309671704</v>
      </c>
      <c r="G6" s="26">
        <v>0.93193741585031797</v>
      </c>
    </row>
    <row r="7" spans="1:7" ht="28" customHeight="1" thickBot="1" x14ac:dyDescent="0.4">
      <c r="A7" s="19" t="s">
        <v>12</v>
      </c>
      <c r="B7" s="20">
        <v>1637.44</v>
      </c>
      <c r="C7" s="20">
        <v>1583.2</v>
      </c>
      <c r="D7" s="20">
        <v>1291.2</v>
      </c>
      <c r="E7" s="23">
        <v>292</v>
      </c>
      <c r="F7" s="24">
        <v>0.788547977330467</v>
      </c>
      <c r="G7" s="24">
        <v>0.81556341586659897</v>
      </c>
    </row>
    <row r="8" spans="1:7" x14ac:dyDescent="0.35">
      <c r="A8" s="92"/>
      <c r="B8" s="93"/>
      <c r="C8" s="93"/>
      <c r="D8" s="93"/>
      <c r="E8" s="93"/>
      <c r="F8" s="93"/>
      <c r="G8" s="94"/>
    </row>
    <row r="9" spans="1:7" ht="15" thickBot="1" x14ac:dyDescent="0.4">
      <c r="A9" s="95"/>
      <c r="B9" s="96"/>
      <c r="C9" s="96"/>
      <c r="D9" s="96"/>
      <c r="E9" s="96"/>
      <c r="F9" s="96"/>
      <c r="G9" s="97"/>
    </row>
    <row r="10" spans="1:7" ht="24" customHeight="1" thickBot="1" x14ac:dyDescent="0.4">
      <c r="A10" s="80" t="s">
        <v>21</v>
      </c>
      <c r="B10" s="81"/>
      <c r="C10" s="81"/>
      <c r="D10" s="81"/>
      <c r="E10" s="81"/>
      <c r="F10" s="81"/>
      <c r="G10" s="82"/>
    </row>
    <row r="11" spans="1:7" ht="30" customHeight="1" thickBot="1" x14ac:dyDescent="0.4">
      <c r="A11" s="28" t="s">
        <v>22</v>
      </c>
      <c r="B11" s="83" t="s">
        <v>23</v>
      </c>
      <c r="C11" s="84"/>
      <c r="D11" s="84"/>
      <c r="E11" s="84"/>
      <c r="F11" s="84"/>
      <c r="G11" s="85"/>
    </row>
    <row r="12" spans="1:7" ht="30" customHeight="1" thickBot="1" x14ac:dyDescent="0.4">
      <c r="A12" s="29" t="s">
        <v>24</v>
      </c>
      <c r="B12" s="86" t="s">
        <v>25</v>
      </c>
      <c r="C12" s="87"/>
      <c r="D12" s="87"/>
      <c r="E12" s="87"/>
      <c r="F12" s="87"/>
      <c r="G12" s="88"/>
    </row>
    <row r="13" spans="1:7" ht="30" customHeight="1" thickBot="1" x14ac:dyDescent="0.4">
      <c r="A13" s="30" t="s">
        <v>26</v>
      </c>
      <c r="B13" s="89" t="s">
        <v>27</v>
      </c>
      <c r="C13" s="90"/>
      <c r="D13" s="90"/>
      <c r="E13" s="90"/>
      <c r="F13" s="90"/>
      <c r="G13" s="91"/>
    </row>
    <row r="14" spans="1:7" ht="30" customHeight="1" thickBot="1" x14ac:dyDescent="0.4">
      <c r="A14" s="31" t="s">
        <v>28</v>
      </c>
      <c r="B14" s="77" t="s">
        <v>29</v>
      </c>
      <c r="C14" s="78"/>
      <c r="D14" s="78"/>
      <c r="E14" s="78"/>
      <c r="F14" s="78"/>
      <c r="G14" s="79"/>
    </row>
    <row r="16" spans="1:7" ht="15" thickBot="1" x14ac:dyDescent="0.4"/>
    <row r="17" spans="1:7" ht="18.5" thickBot="1" x14ac:dyDescent="0.4">
      <c r="A17" s="67" t="s">
        <v>30</v>
      </c>
      <c r="B17" s="68"/>
      <c r="C17" s="68"/>
      <c r="D17" s="68"/>
      <c r="E17" s="68"/>
      <c r="F17" s="68"/>
      <c r="G17" s="69"/>
    </row>
    <row r="18" spans="1:7" ht="15" thickBot="1" x14ac:dyDescent="0.4">
      <c r="A18" s="64"/>
      <c r="B18" s="65"/>
      <c r="C18" s="65"/>
      <c r="D18" s="65"/>
      <c r="E18" s="65"/>
      <c r="F18" s="65"/>
      <c r="G18" s="66"/>
    </row>
    <row r="19" spans="1:7" ht="15" thickBot="1" x14ac:dyDescent="0.4">
      <c r="A19" s="32" t="s">
        <v>5</v>
      </c>
      <c r="B19" s="101" t="s">
        <v>31</v>
      </c>
      <c r="C19" s="103"/>
      <c r="D19" s="101" t="s">
        <v>32</v>
      </c>
      <c r="E19" s="103"/>
      <c r="F19" s="101" t="s">
        <v>33</v>
      </c>
      <c r="G19" s="103"/>
    </row>
    <row r="20" spans="1:7" ht="15" thickBot="1" x14ac:dyDescent="0.4">
      <c r="A20" s="33" t="s">
        <v>9</v>
      </c>
      <c r="B20" s="104">
        <v>1538.88</v>
      </c>
      <c r="C20" s="105"/>
      <c r="D20" s="104">
        <v>1578.4</v>
      </c>
      <c r="E20" s="105"/>
      <c r="F20" s="104">
        <v>1402.88</v>
      </c>
      <c r="G20" s="105"/>
    </row>
    <row r="21" spans="1:7" ht="15" thickBot="1" x14ac:dyDescent="0.4">
      <c r="A21" s="33" t="s">
        <v>10</v>
      </c>
      <c r="B21" s="104">
        <v>1736</v>
      </c>
      <c r="C21" s="105"/>
      <c r="D21" s="104">
        <v>1708.16</v>
      </c>
      <c r="E21" s="105"/>
      <c r="F21" s="104">
        <v>1555.2</v>
      </c>
      <c r="G21" s="105"/>
    </row>
    <row r="22" spans="1:7" ht="15" thickBot="1" x14ac:dyDescent="0.4">
      <c r="A22" s="33" t="s">
        <v>11</v>
      </c>
      <c r="B22" s="104">
        <v>1803.2</v>
      </c>
      <c r="C22" s="105"/>
      <c r="D22" s="104">
        <v>1723.12</v>
      </c>
      <c r="E22" s="105"/>
      <c r="F22" s="104">
        <v>1605.84</v>
      </c>
      <c r="G22" s="105"/>
    </row>
    <row r="23" spans="1:7" ht="15" thickBot="1" x14ac:dyDescent="0.4">
      <c r="A23" s="33" t="s">
        <v>12</v>
      </c>
      <c r="B23" s="104">
        <v>1637.44</v>
      </c>
      <c r="C23" s="105"/>
      <c r="D23" s="104">
        <v>1583.2</v>
      </c>
      <c r="E23" s="105"/>
      <c r="F23" s="104">
        <v>1291.2</v>
      </c>
      <c r="G23" s="105"/>
    </row>
    <row r="24" spans="1:7" x14ac:dyDescent="0.35">
      <c r="A24" s="92"/>
      <c r="B24" s="93"/>
      <c r="C24" s="93"/>
      <c r="D24" s="93"/>
      <c r="E24" s="93"/>
      <c r="F24" s="93"/>
      <c r="G24" s="94"/>
    </row>
    <row r="25" spans="1:7" ht="15" thickBot="1" x14ac:dyDescent="0.4">
      <c r="A25" s="95"/>
      <c r="B25" s="96"/>
      <c r="C25" s="96"/>
      <c r="D25" s="96"/>
      <c r="E25" s="96"/>
      <c r="F25" s="96"/>
      <c r="G25" s="97"/>
    </row>
    <row r="26" spans="1:7" ht="15" thickBot="1" x14ac:dyDescent="0.4">
      <c r="A26" s="17" t="s">
        <v>5</v>
      </c>
      <c r="B26" s="101" t="s">
        <v>19</v>
      </c>
      <c r="C26" s="102"/>
      <c r="D26" s="103"/>
      <c r="E26" s="101" t="s">
        <v>20</v>
      </c>
      <c r="F26" s="102"/>
      <c r="G26" s="103"/>
    </row>
    <row r="27" spans="1:7" ht="15" thickBot="1" x14ac:dyDescent="0.4">
      <c r="A27" s="33" t="s">
        <v>9</v>
      </c>
      <c r="B27" s="98">
        <v>0.91159999999999997</v>
      </c>
      <c r="C27" s="99"/>
      <c r="D27" s="100"/>
      <c r="E27" s="98">
        <v>0.88880000000000003</v>
      </c>
      <c r="F27" s="99"/>
      <c r="G27" s="100"/>
    </row>
    <row r="28" spans="1:7" ht="15" thickBot="1" x14ac:dyDescent="0.4">
      <c r="A28" s="33" t="s">
        <v>10</v>
      </c>
      <c r="B28" s="98">
        <v>0.89590000000000003</v>
      </c>
      <c r="C28" s="99"/>
      <c r="D28" s="100"/>
      <c r="E28" s="98">
        <v>0.91049999999999998</v>
      </c>
      <c r="F28" s="99"/>
      <c r="G28" s="100"/>
    </row>
    <row r="29" spans="1:7" ht="15" thickBot="1" x14ac:dyDescent="0.4">
      <c r="A29" s="33" t="s">
        <v>11</v>
      </c>
      <c r="B29" s="98">
        <v>0.89059999999999995</v>
      </c>
      <c r="C29" s="99"/>
      <c r="D29" s="100"/>
      <c r="E29" s="98">
        <v>0.93189999999999995</v>
      </c>
      <c r="F29" s="99"/>
      <c r="G29" s="100"/>
    </row>
    <row r="30" spans="1:7" ht="15" thickBot="1" x14ac:dyDescent="0.4">
      <c r="A30" s="33" t="s">
        <v>12</v>
      </c>
      <c r="B30" s="98">
        <v>0.78849999999999998</v>
      </c>
      <c r="C30" s="99"/>
      <c r="D30" s="100"/>
      <c r="E30" s="98">
        <v>0.81559999999999999</v>
      </c>
      <c r="F30" s="99"/>
      <c r="G30" s="100"/>
    </row>
  </sheetData>
  <mergeCells count="36">
    <mergeCell ref="E29:G29"/>
    <mergeCell ref="E30:G30"/>
    <mergeCell ref="B26:D26"/>
    <mergeCell ref="B27:D27"/>
    <mergeCell ref="B28:D28"/>
    <mergeCell ref="B29:D29"/>
    <mergeCell ref="B30:D30"/>
    <mergeCell ref="E27:G27"/>
    <mergeCell ref="E28:G28"/>
    <mergeCell ref="A24:G25"/>
    <mergeCell ref="B22:C22"/>
    <mergeCell ref="B23:C23"/>
    <mergeCell ref="D22:E22"/>
    <mergeCell ref="D23:E23"/>
    <mergeCell ref="F22:G22"/>
    <mergeCell ref="F23:G23"/>
    <mergeCell ref="E26:G26"/>
    <mergeCell ref="A17:G17"/>
    <mergeCell ref="A18:G18"/>
    <mergeCell ref="B19:C19"/>
    <mergeCell ref="B20:C20"/>
    <mergeCell ref="B21:C21"/>
    <mergeCell ref="F19:G19"/>
    <mergeCell ref="F20:G20"/>
    <mergeCell ref="F21:G21"/>
    <mergeCell ref="D19:E19"/>
    <mergeCell ref="D20:E20"/>
    <mergeCell ref="D21:E21"/>
    <mergeCell ref="B14:G14"/>
    <mergeCell ref="A1:G1"/>
    <mergeCell ref="A10:G10"/>
    <mergeCell ref="B11:G11"/>
    <mergeCell ref="B12:G12"/>
    <mergeCell ref="B13:G13"/>
    <mergeCell ref="A2:G2"/>
    <mergeCell ref="A8:G9"/>
  </mergeCells>
  <pageMargins left="0.75" right="0.75" top="1" bottom="1" header="0.511811023622047" footer="0.511811023622047"/>
  <pageSetup paperSize="9" orientation="portrait" horizontalDpi="300" verticalDpi="300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13C861-B9F3-45B3-B5D4-75BC0524206F}">
  <dimension ref="A1:E32"/>
  <sheetViews>
    <sheetView workbookViewId="0">
      <selection activeCell="F1" sqref="F1"/>
    </sheetView>
  </sheetViews>
  <sheetFormatPr baseColWidth="10" defaultColWidth="8.7265625" defaultRowHeight="14.5" x14ac:dyDescent="0.35"/>
  <cols>
    <col min="1" max="1" width="30" style="16" customWidth="1"/>
    <col min="2" max="2" width="48" style="16" customWidth="1"/>
    <col min="3" max="3" width="16" style="16" customWidth="1"/>
    <col min="4" max="4" width="48" style="16" customWidth="1"/>
    <col min="5" max="5" width="28" style="16" customWidth="1"/>
    <col min="6" max="16384" width="8.7265625" style="16"/>
  </cols>
  <sheetData>
    <row r="1" spans="1:5" ht="84" customHeight="1" thickBot="1" x14ac:dyDescent="0.4">
      <c r="A1" s="106" t="s">
        <v>75</v>
      </c>
      <c r="B1" s="107"/>
      <c r="C1" s="107"/>
      <c r="D1" s="107"/>
      <c r="E1" s="108"/>
    </row>
    <row r="2" spans="1:5" ht="25" customHeight="1" thickBot="1" x14ac:dyDescent="0.4">
      <c r="A2" s="109"/>
      <c r="B2" s="110"/>
      <c r="C2" s="110"/>
      <c r="D2" s="110"/>
      <c r="E2" s="111"/>
    </row>
    <row r="3" spans="1:5" ht="26.65" customHeight="1" thickBot="1" x14ac:dyDescent="0.4">
      <c r="A3" s="37" t="s">
        <v>76</v>
      </c>
      <c r="B3" s="37" t="s">
        <v>77</v>
      </c>
      <c r="C3" s="37" t="s">
        <v>78</v>
      </c>
      <c r="D3" s="37" t="s">
        <v>79</v>
      </c>
      <c r="E3" s="37" t="s">
        <v>80</v>
      </c>
    </row>
    <row r="4" spans="1:5" ht="29.4" customHeight="1" thickBot="1" x14ac:dyDescent="0.4">
      <c r="A4" s="39" t="s">
        <v>81</v>
      </c>
      <c r="B4" s="38" t="s">
        <v>82</v>
      </c>
      <c r="C4" s="38" t="s">
        <v>83</v>
      </c>
      <c r="D4" s="38" t="s">
        <v>84</v>
      </c>
      <c r="E4" s="38" t="s">
        <v>85</v>
      </c>
    </row>
    <row r="5" spans="1:5" ht="29.4" customHeight="1" thickBot="1" x14ac:dyDescent="0.4">
      <c r="A5" s="40" t="s">
        <v>86</v>
      </c>
      <c r="B5" s="41" t="s">
        <v>87</v>
      </c>
      <c r="C5" s="41" t="s">
        <v>78</v>
      </c>
      <c r="D5" s="41" t="s">
        <v>88</v>
      </c>
      <c r="E5" s="41" t="s">
        <v>89</v>
      </c>
    </row>
    <row r="6" spans="1:5" ht="29.4" customHeight="1" thickBot="1" x14ac:dyDescent="0.4">
      <c r="A6" s="39" t="s">
        <v>90</v>
      </c>
      <c r="B6" s="38" t="s">
        <v>91</v>
      </c>
      <c r="C6" s="38" t="s">
        <v>78</v>
      </c>
      <c r="D6" s="38" t="s">
        <v>92</v>
      </c>
      <c r="E6" s="38" t="s">
        <v>89</v>
      </c>
    </row>
    <row r="7" spans="1:5" ht="29.4" customHeight="1" thickBot="1" x14ac:dyDescent="0.4">
      <c r="A7" s="40" t="s">
        <v>93</v>
      </c>
      <c r="B7" s="41" t="s">
        <v>94</v>
      </c>
      <c r="C7" s="41" t="s">
        <v>78</v>
      </c>
      <c r="D7" s="41" t="s">
        <v>95</v>
      </c>
      <c r="E7" s="41" t="s">
        <v>89</v>
      </c>
    </row>
    <row r="8" spans="1:5" ht="29.4" customHeight="1" thickBot="1" x14ac:dyDescent="0.4">
      <c r="A8" s="39" t="s">
        <v>96</v>
      </c>
      <c r="B8" s="38" t="s">
        <v>97</v>
      </c>
      <c r="C8" s="38" t="s">
        <v>98</v>
      </c>
      <c r="D8" s="38" t="s">
        <v>99</v>
      </c>
      <c r="E8" s="38" t="s">
        <v>89</v>
      </c>
    </row>
    <row r="9" spans="1:5" ht="29.4" customHeight="1" thickBot="1" x14ac:dyDescent="0.4">
      <c r="A9" s="40" t="s">
        <v>100</v>
      </c>
      <c r="B9" s="41" t="s">
        <v>101</v>
      </c>
      <c r="C9" s="41" t="s">
        <v>98</v>
      </c>
      <c r="D9" s="41" t="s">
        <v>102</v>
      </c>
      <c r="E9" s="41" t="s">
        <v>89</v>
      </c>
    </row>
    <row r="10" spans="1:5" ht="29.4" customHeight="1" thickBot="1" x14ac:dyDescent="0.4">
      <c r="A10" s="39" t="s">
        <v>103</v>
      </c>
      <c r="B10" s="38" t="s">
        <v>104</v>
      </c>
      <c r="C10" s="38" t="s">
        <v>98</v>
      </c>
      <c r="D10" s="38" t="s">
        <v>105</v>
      </c>
      <c r="E10" s="38" t="s">
        <v>89</v>
      </c>
    </row>
    <row r="11" spans="1:5" ht="29.4" customHeight="1" thickBot="1" x14ac:dyDescent="0.4">
      <c r="A11" s="40" t="s">
        <v>65</v>
      </c>
      <c r="B11" s="41" t="s">
        <v>66</v>
      </c>
      <c r="C11" s="41" t="s">
        <v>106</v>
      </c>
      <c r="D11" s="41" t="s">
        <v>107</v>
      </c>
      <c r="E11" s="41" t="s">
        <v>108</v>
      </c>
    </row>
    <row r="12" spans="1:5" ht="29.4" customHeight="1" thickBot="1" x14ac:dyDescent="0.4">
      <c r="A12" s="39" t="s">
        <v>67</v>
      </c>
      <c r="B12" s="38" t="s">
        <v>109</v>
      </c>
      <c r="C12" s="38" t="s">
        <v>106</v>
      </c>
      <c r="D12" s="38" t="s">
        <v>110</v>
      </c>
      <c r="E12" s="38" t="s">
        <v>108</v>
      </c>
    </row>
    <row r="13" spans="1:5" ht="29.4" customHeight="1" thickBot="1" x14ac:dyDescent="0.4">
      <c r="A13" s="40" t="s">
        <v>69</v>
      </c>
      <c r="B13" s="41" t="s">
        <v>111</v>
      </c>
      <c r="C13" s="41" t="s">
        <v>106</v>
      </c>
      <c r="D13" s="41" t="s">
        <v>112</v>
      </c>
      <c r="E13" s="41" t="s">
        <v>108</v>
      </c>
    </row>
    <row r="14" spans="1:5" ht="29.4" customHeight="1" thickBot="1" x14ac:dyDescent="0.4">
      <c r="A14" s="39" t="s">
        <v>113</v>
      </c>
      <c r="B14" s="38" t="s">
        <v>114</v>
      </c>
      <c r="C14" s="38" t="s">
        <v>115</v>
      </c>
      <c r="D14" s="38" t="s">
        <v>116</v>
      </c>
      <c r="E14" s="38" t="s">
        <v>89</v>
      </c>
    </row>
    <row r="15" spans="1:5" ht="29.4" customHeight="1" thickBot="1" x14ac:dyDescent="0.4">
      <c r="A15" s="40" t="s">
        <v>117</v>
      </c>
      <c r="B15" s="41" t="s">
        <v>118</v>
      </c>
      <c r="C15" s="41" t="s">
        <v>115</v>
      </c>
      <c r="D15" s="41" t="s">
        <v>119</v>
      </c>
      <c r="E15" s="41" t="s">
        <v>89</v>
      </c>
    </row>
    <row r="16" spans="1:5" ht="29.4" customHeight="1" thickBot="1" x14ac:dyDescent="0.4">
      <c r="A16" s="39" t="s">
        <v>120</v>
      </c>
      <c r="B16" s="38" t="s">
        <v>121</v>
      </c>
      <c r="C16" s="38" t="s">
        <v>115</v>
      </c>
      <c r="D16" s="38" t="s">
        <v>122</v>
      </c>
      <c r="E16" s="38" t="s">
        <v>89</v>
      </c>
    </row>
    <row r="17" spans="1:5" ht="29.4" customHeight="1" thickBot="1" x14ac:dyDescent="0.4">
      <c r="A17" s="40" t="s">
        <v>123</v>
      </c>
      <c r="B17" s="41" t="s">
        <v>124</v>
      </c>
      <c r="C17" s="41" t="s">
        <v>115</v>
      </c>
      <c r="D17" s="41" t="s">
        <v>125</v>
      </c>
      <c r="E17" s="41" t="s">
        <v>108</v>
      </c>
    </row>
    <row r="18" spans="1:5" ht="29.4" customHeight="1" thickBot="1" x14ac:dyDescent="0.4">
      <c r="A18" s="39" t="s">
        <v>126</v>
      </c>
      <c r="B18" s="38" t="s">
        <v>127</v>
      </c>
      <c r="C18" s="38" t="s">
        <v>115</v>
      </c>
      <c r="D18" s="38" t="s">
        <v>128</v>
      </c>
      <c r="E18" s="38" t="s">
        <v>108</v>
      </c>
    </row>
    <row r="19" spans="1:5" ht="29.4" customHeight="1" thickBot="1" x14ac:dyDescent="0.4">
      <c r="A19" s="36" t="s">
        <v>129</v>
      </c>
      <c r="B19" s="41" t="s">
        <v>130</v>
      </c>
      <c r="C19" s="41" t="s">
        <v>115</v>
      </c>
      <c r="D19" s="41" t="s">
        <v>131</v>
      </c>
      <c r="E19" s="41" t="s">
        <v>108</v>
      </c>
    </row>
    <row r="20" spans="1:5" ht="29.4" customHeight="1" thickBot="1" x14ac:dyDescent="0.4">
      <c r="A20" s="39" t="s">
        <v>71</v>
      </c>
      <c r="B20" s="38" t="s">
        <v>132</v>
      </c>
      <c r="C20" s="38" t="s">
        <v>115</v>
      </c>
      <c r="D20" s="38" t="s">
        <v>133</v>
      </c>
      <c r="E20" s="38" t="s">
        <v>108</v>
      </c>
    </row>
    <row r="21" spans="1:5" ht="29.4" customHeight="1" thickBot="1" x14ac:dyDescent="0.4">
      <c r="A21" s="40" t="s">
        <v>60</v>
      </c>
      <c r="B21" s="41" t="s">
        <v>134</v>
      </c>
      <c r="C21" s="41" t="s">
        <v>135</v>
      </c>
      <c r="D21" s="41" t="s">
        <v>136</v>
      </c>
      <c r="E21" s="41" t="s">
        <v>89</v>
      </c>
    </row>
    <row r="22" spans="1:5" ht="29.4" customHeight="1" thickBot="1" x14ac:dyDescent="0.4">
      <c r="A22" s="39" t="s">
        <v>61</v>
      </c>
      <c r="B22" s="38" t="s">
        <v>137</v>
      </c>
      <c r="C22" s="38" t="s">
        <v>135</v>
      </c>
      <c r="D22" s="38" t="s">
        <v>138</v>
      </c>
      <c r="E22" s="38" t="s">
        <v>108</v>
      </c>
    </row>
    <row r="23" spans="1:5" ht="29.4" customHeight="1" thickBot="1" x14ac:dyDescent="0.4">
      <c r="A23" s="40" t="s">
        <v>62</v>
      </c>
      <c r="B23" s="41" t="s">
        <v>139</v>
      </c>
      <c r="C23" s="41" t="s">
        <v>135</v>
      </c>
      <c r="D23" s="41" t="s">
        <v>140</v>
      </c>
      <c r="E23" s="41" t="s">
        <v>108</v>
      </c>
    </row>
    <row r="24" spans="1:5" ht="29.4" customHeight="1" thickBot="1" x14ac:dyDescent="0.4">
      <c r="A24" s="39" t="s">
        <v>63</v>
      </c>
      <c r="B24" s="38" t="s">
        <v>141</v>
      </c>
      <c r="C24" s="38" t="s">
        <v>135</v>
      </c>
      <c r="D24" s="38" t="s">
        <v>142</v>
      </c>
      <c r="E24" s="38" t="s">
        <v>89</v>
      </c>
    </row>
    <row r="25" spans="1:5" ht="29.4" customHeight="1" thickBot="1" x14ac:dyDescent="0.4">
      <c r="A25" s="40" t="s">
        <v>143</v>
      </c>
      <c r="B25" s="41" t="s">
        <v>144</v>
      </c>
      <c r="C25" s="41" t="s">
        <v>83</v>
      </c>
      <c r="D25" s="41" t="s">
        <v>145</v>
      </c>
      <c r="E25" s="41" t="s">
        <v>146</v>
      </c>
    </row>
    <row r="26" spans="1:5" x14ac:dyDescent="0.35">
      <c r="A26" s="34"/>
      <c r="B26" s="34"/>
      <c r="C26" s="34"/>
      <c r="D26" s="34"/>
      <c r="E26" s="34"/>
    </row>
    <row r="27" spans="1:5" x14ac:dyDescent="0.35">
      <c r="A27" s="35"/>
      <c r="B27" s="35"/>
      <c r="C27" s="35"/>
      <c r="D27" s="34"/>
      <c r="E27" s="34"/>
    </row>
    <row r="28" spans="1:5" ht="29.4" customHeight="1" x14ac:dyDescent="0.35">
      <c r="A28" s="35"/>
      <c r="B28" s="35"/>
      <c r="C28" s="35"/>
      <c r="D28" s="34"/>
      <c r="E28" s="34"/>
    </row>
    <row r="29" spans="1:5" ht="29.4" customHeight="1" x14ac:dyDescent="0.35">
      <c r="A29" s="36"/>
      <c r="B29" s="34"/>
      <c r="C29" s="34"/>
      <c r="D29" s="34"/>
      <c r="E29" s="34"/>
    </row>
    <row r="30" spans="1:5" ht="29.4" customHeight="1" x14ac:dyDescent="0.35">
      <c r="A30" s="36"/>
      <c r="B30" s="34"/>
      <c r="C30" s="34"/>
      <c r="D30" s="34"/>
      <c r="E30" s="34"/>
    </row>
    <row r="31" spans="1:5" ht="29.4" customHeight="1" x14ac:dyDescent="0.35">
      <c r="A31" s="36"/>
      <c r="B31" s="34"/>
      <c r="C31" s="34"/>
      <c r="D31" s="34"/>
      <c r="E31" s="34"/>
    </row>
    <row r="32" spans="1:5" ht="29.4" customHeight="1" x14ac:dyDescent="0.35">
      <c r="A32" s="36"/>
      <c r="B32" s="34"/>
      <c r="C32" s="34"/>
      <c r="D32" s="34"/>
      <c r="E32" s="34"/>
    </row>
  </sheetData>
  <mergeCells count="2">
    <mergeCell ref="A1:E1"/>
    <mergeCell ref="A2:E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Datos por Bloque</vt:lpstr>
      <vt:lpstr>Indicadores Resumen</vt:lpstr>
      <vt:lpstr>Diccionario de Variables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Juan David Tejedor Medina</cp:lastModifiedBy>
  <cp:revision>1</cp:revision>
  <dcterms:created xsi:type="dcterms:W3CDTF">2026-05-07T21:08:55Z</dcterms:created>
  <dcterms:modified xsi:type="dcterms:W3CDTF">2026-05-08T14:16:33Z</dcterms:modified>
  <dc:language>en-US</dc:language>
</cp:coreProperties>
</file>